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9f0dfecb005ccab/Financial Statement Preparation and Financial Statement Analysis/"/>
    </mc:Choice>
  </mc:AlternateContent>
  <xr:revisionPtr revIDLastSave="9" documentId="8_{60FFEC03-2DE4-4003-BD10-88384FF34EAA}" xr6:coauthVersionLast="47" xr6:coauthVersionMax="47" xr10:uidLastSave="{A250F93F-9DA9-4FA2-98E3-4179F92E2649}"/>
  <bookViews>
    <workbookView xWindow="-110" yWindow="-110" windowWidth="19420" windowHeight="10300" firstSheet="7" activeTab="7" xr2:uid="{96A23D32-5D13-4FAA-B2D5-7236269838CA}"/>
  </bookViews>
  <sheets>
    <sheet name="Transaction" sheetId="1" r:id="rId1"/>
    <sheet name="Journal Entries" sheetId="2" r:id="rId2"/>
    <sheet name="Ledger" sheetId="3" r:id="rId3"/>
    <sheet name="Trial Balance" sheetId="4" r:id="rId4"/>
    <sheet name="Trading Account" sheetId="5" r:id="rId5"/>
    <sheet name="P&amp;L Account" sheetId="6" r:id="rId6"/>
    <sheet name="Balance Sheet" sheetId="7" r:id="rId7"/>
    <sheet name="Ratio Analysis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7" i="6" l="1"/>
  <c r="C11" i="6"/>
  <c r="C42" i="8"/>
  <c r="C36" i="8"/>
  <c r="C37" i="8" s="1"/>
  <c r="C32" i="8"/>
  <c r="C27" i="8"/>
  <c r="C22" i="8"/>
  <c r="C17" i="8"/>
  <c r="C12" i="8"/>
  <c r="C7" i="8"/>
  <c r="C5" i="7"/>
  <c r="D30" i="4"/>
  <c r="C30" i="4"/>
  <c r="F20" i="7" l="1"/>
  <c r="C20" i="7"/>
  <c r="F18" i="7"/>
  <c r="F16" i="7"/>
  <c r="F14" i="7"/>
  <c r="F6" i="7"/>
  <c r="F6" i="6"/>
  <c r="F18" i="6" s="1"/>
  <c r="C13" i="6"/>
  <c r="C6" i="6"/>
  <c r="C10" i="5"/>
  <c r="C11" i="5"/>
  <c r="F11" i="5"/>
  <c r="F5" i="5"/>
  <c r="C6" i="5"/>
  <c r="C18" i="6" l="1"/>
  <c r="D198" i="3"/>
  <c r="H198" i="3" s="1"/>
  <c r="H196" i="3" s="1"/>
  <c r="D199" i="3" s="1"/>
  <c r="D191" i="3"/>
  <c r="H191" i="3" s="1"/>
  <c r="H189" i="3" s="1"/>
  <c r="D192" i="3" s="1"/>
  <c r="H184" i="3"/>
  <c r="D184" i="3"/>
  <c r="D182" i="3"/>
  <c r="H185" i="3" s="1"/>
  <c r="D177" i="3"/>
  <c r="H177" i="3" s="1"/>
  <c r="H175" i="3" s="1"/>
  <c r="D178" i="3" s="1"/>
  <c r="H170" i="3"/>
  <c r="D170" i="3"/>
  <c r="D168" i="3"/>
  <c r="H171" i="3" s="1"/>
  <c r="D164" i="3"/>
  <c r="H162" i="3"/>
  <c r="D163" i="3"/>
  <c r="H163" i="3" s="1"/>
  <c r="D156" i="3"/>
  <c r="H156" i="3" s="1"/>
  <c r="H154" i="3" s="1"/>
  <c r="D157" i="3" s="1"/>
  <c r="D149" i="3"/>
  <c r="H149" i="3" s="1"/>
  <c r="H147" i="3" s="1"/>
  <c r="D150" i="3" s="1"/>
  <c r="D142" i="3"/>
  <c r="H142" i="3" s="1"/>
  <c r="H140" i="3" s="1"/>
  <c r="D143" i="3" s="1"/>
  <c r="D135" i="3"/>
  <c r="H135" i="3" s="1"/>
  <c r="H133" i="3" s="1"/>
  <c r="D136" i="3" s="1"/>
  <c r="D128" i="3"/>
  <c r="H128" i="3" s="1"/>
  <c r="H126" i="3" s="1"/>
  <c r="D129" i="3" s="1"/>
  <c r="D121" i="3"/>
  <c r="H121" i="3" s="1"/>
  <c r="H119" i="3" s="1"/>
  <c r="D122" i="3" s="1"/>
  <c r="D114" i="3"/>
  <c r="H114" i="3" s="1"/>
  <c r="H112" i="3" s="1"/>
  <c r="D115" i="3" s="1"/>
  <c r="H108" i="3"/>
  <c r="D103" i="3"/>
  <c r="H107" i="3"/>
  <c r="D107" i="3"/>
  <c r="H98" i="3"/>
  <c r="D98" i="3" s="1"/>
  <c r="D91" i="3"/>
  <c r="H91" i="3" s="1"/>
  <c r="H89" i="3" s="1"/>
  <c r="D92" i="3" s="1"/>
  <c r="D84" i="3"/>
  <c r="H84" i="3" s="1"/>
  <c r="H82" i="3" s="1"/>
  <c r="D85" i="3" s="1"/>
  <c r="D77" i="3"/>
  <c r="H77" i="3" s="1"/>
  <c r="H75" i="3" s="1"/>
  <c r="D78" i="3" s="1"/>
  <c r="H70" i="3"/>
  <c r="D70" i="3" s="1"/>
  <c r="D61" i="3"/>
  <c r="H61" i="3" s="1"/>
  <c r="H59" i="3" s="1"/>
  <c r="D62" i="3" s="1"/>
  <c r="D55" i="3"/>
  <c r="H55" i="3" s="1"/>
  <c r="D47" i="3"/>
  <c r="H47" i="3" s="1"/>
  <c r="H42" i="3" s="1"/>
  <c r="D48" i="3" s="1"/>
  <c r="D37" i="3"/>
  <c r="H36" i="3" s="1"/>
  <c r="D38" i="3" s="1"/>
  <c r="H37" i="3"/>
  <c r="D22" i="3"/>
  <c r="H22" i="3" s="1"/>
  <c r="D23" i="3" s="1"/>
  <c r="H8" i="3"/>
  <c r="D8" i="3" s="1"/>
  <c r="D5" i="3" s="1"/>
  <c r="H9" i="3" s="1"/>
  <c r="D96" i="3" l="1"/>
  <c r="H99" i="3"/>
  <c r="D67" i="3"/>
  <c r="H71" i="3" s="1"/>
  <c r="H23" i="3"/>
  <c r="F6" i="2"/>
</calcChain>
</file>

<file path=xl/sharedStrings.xml><?xml version="1.0" encoding="utf-8"?>
<sst xmlns="http://schemas.openxmlformats.org/spreadsheetml/2006/main" count="903" uniqueCount="350">
  <si>
    <t>Mr. Kumar handed over his books of accounts for the month of January 2026. From the records available, the following transactions were identified during the month.</t>
  </si>
  <si>
    <t>Transactions for January 2026</t>
  </si>
  <si>
    <t>Date</t>
  </si>
  <si>
    <t>Particulars</t>
  </si>
  <si>
    <t>Amount (₹)</t>
  </si>
  <si>
    <t>Commenced business with cash and bank balance as capital</t>
  </si>
  <si>
    <t>Purchased goods on credit from Sharma Traders</t>
  </si>
  <si>
    <t>Purchased goods for cash</t>
  </si>
  <si>
    <t>Paid advance to Verma Suppliers for future purchases</t>
  </si>
  <si>
    <t>Received advance from Raj Enterprises ₹1,20,000 for future sales.</t>
  </si>
  <si>
    <t>Purchased office furniture by cheque</t>
  </si>
  <si>
    <t>Paid wages in cash</t>
  </si>
  <si>
    <t>Paid carriage inward on purchases in cash</t>
  </si>
  <si>
    <t>Returned goods to Sharma Traders</t>
  </si>
  <si>
    <t>Sold goods on credit to Raj Enterprises</t>
  </si>
  <si>
    <t>Paid office expenses in cash</t>
  </si>
  <si>
    <t>Raj Enterprises returned goods</t>
  </si>
  <si>
    <t>Purchased stationery for office use</t>
  </si>
  <si>
    <t>Deposited cash into Bank of India</t>
  </si>
  <si>
    <t>Sold goods for cash</t>
  </si>
  <si>
    <t>Paid salaries by cheque</t>
  </si>
  <si>
    <t>Paid office rent by cheque</t>
  </si>
  <si>
    <t>Withdrew cash from bank for office use</t>
  </si>
  <si>
    <t>Received cash from Raj Enterprises</t>
  </si>
  <si>
    <t>Purchased machinery through bank</t>
  </si>
  <si>
    <t>Paid Sharma Traders by cheque</t>
  </si>
  <si>
    <t>Paid carriage outward on sales</t>
  </si>
  <si>
    <t>Sold goods on credit to Kumar &amp; Co.</t>
  </si>
  <si>
    <t>Purchased goods on credit from Gupta Traders</t>
  </si>
  <si>
    <t>Received cheque from Kumar &amp; Co. and deposited into bank</t>
  </si>
  <si>
    <t>Paid electricity charges by cheque</t>
  </si>
  <si>
    <t>Received interest on investments and credited to bank</t>
  </si>
  <si>
    <t>Purchased computer for office use through Bank of Baroda</t>
  </si>
  <si>
    <t>Paid insurance premium by cheque</t>
  </si>
  <si>
    <t>Adjustments</t>
  </si>
  <si>
    <t>Closing Stock on 31 January 2026 was valued at ₹2,45,000.</t>
  </si>
  <si>
    <t>Outstanding Salaries amounted to ₹10,000.</t>
  </si>
  <si>
    <t>Outstanding Electricity Charges amounted to ₹2,000.</t>
  </si>
  <si>
    <t>Insurance of ₹3,000 relates to the next month and is to be treated as Prepaid Insurance.</t>
  </si>
  <si>
    <t>Interest on Investments accrued but not yet received amounted to ₹5,000.</t>
  </si>
  <si>
    <t>Depreciate all Fixed Assets (Furniture, Computer and Other Fixed Assets) at 10% per annum.</t>
  </si>
  <si>
    <t>L.F</t>
  </si>
  <si>
    <t>Debit ₹</t>
  </si>
  <si>
    <t>Credit ₹</t>
  </si>
  <si>
    <t>Cash A/C</t>
  </si>
  <si>
    <t>Dr.</t>
  </si>
  <si>
    <t>Bank A/C</t>
  </si>
  <si>
    <t xml:space="preserve">  To Capital A/C</t>
  </si>
  <si>
    <t>(Being Commenced business with Cash and Bank balance)</t>
  </si>
  <si>
    <t>01.01.2026</t>
  </si>
  <si>
    <t>02.01.2026</t>
  </si>
  <si>
    <t>Purchased A/C</t>
  </si>
  <si>
    <t xml:space="preserve">  To Sharma Traders A/C</t>
  </si>
  <si>
    <t>(Being Purchased goods on credit from Sharma Traders)</t>
  </si>
  <si>
    <t>03.01.2026</t>
  </si>
  <si>
    <t xml:space="preserve">  To Cash A/C</t>
  </si>
  <si>
    <t>(Being Purchased goods for cash)</t>
  </si>
  <si>
    <t>04.01.2026</t>
  </si>
  <si>
    <t>(Being Paid advance to Verma Suppliers for future purchases)</t>
  </si>
  <si>
    <t>05.01.2026</t>
  </si>
  <si>
    <t>(Being Received advance from Raj Enterprises for future sales)</t>
  </si>
  <si>
    <t>06.01.2026</t>
  </si>
  <si>
    <t xml:space="preserve">  To Bank A/C</t>
  </si>
  <si>
    <t>(Being Purchased office furniture by cheque)</t>
  </si>
  <si>
    <t>07.01.2026</t>
  </si>
  <si>
    <t>Wages A/C</t>
  </si>
  <si>
    <t>(Being Paid wages in cash)</t>
  </si>
  <si>
    <t>08.01.2026</t>
  </si>
  <si>
    <t>(Being Paid carriage inward on purchases in cash)</t>
  </si>
  <si>
    <t>Carriage Inwards A/C</t>
  </si>
  <si>
    <t>09.01.2026</t>
  </si>
  <si>
    <t xml:space="preserve">  To Purchased Return A/C</t>
  </si>
  <si>
    <t>(Being Returned goods to Sharma Traders)</t>
  </si>
  <si>
    <t>10.01.2026</t>
  </si>
  <si>
    <t>Sales Return A/C</t>
  </si>
  <si>
    <t>(Being Sold goods on credit to Raj Enterprises)</t>
  </si>
  <si>
    <t>11.01.2026</t>
  </si>
  <si>
    <t>Office Expenses A/C</t>
  </si>
  <si>
    <t>(Being Paid office expenses in cash)</t>
  </si>
  <si>
    <t>12.01.2026</t>
  </si>
  <si>
    <t>Raj Enterprises A/C</t>
  </si>
  <si>
    <t xml:space="preserve">  To Sales A/C</t>
  </si>
  <si>
    <t>(Being Raj Enterprises returned goods)</t>
  </si>
  <si>
    <t>13.01.2026</t>
  </si>
  <si>
    <t>Stationery A/C</t>
  </si>
  <si>
    <t>(Being Purchased stationery for office use)</t>
  </si>
  <si>
    <t>14.01.2026</t>
  </si>
  <si>
    <t>(Being Deposited cash into Bank of India)</t>
  </si>
  <si>
    <t>15.01.2026</t>
  </si>
  <si>
    <t>(Being Sold goods for cash)</t>
  </si>
  <si>
    <t>16.01.2026</t>
  </si>
  <si>
    <t>17.01.2026</t>
  </si>
  <si>
    <t>Salary A/C</t>
  </si>
  <si>
    <t>(Being Paid salaries by cheque)</t>
  </si>
  <si>
    <t>18.01.2026</t>
  </si>
  <si>
    <t>(Being Paid office rent by cheque)</t>
  </si>
  <si>
    <t>19.01.2026</t>
  </si>
  <si>
    <t xml:space="preserve">   To Bank A/C</t>
  </si>
  <si>
    <t>(Being Withdrew cash from bank for office use)</t>
  </si>
  <si>
    <t>20.01.2026</t>
  </si>
  <si>
    <t>(Being Received cash from Raj Enterprises)</t>
  </si>
  <si>
    <t>21.01.2026</t>
  </si>
  <si>
    <t>Machinery A/C</t>
  </si>
  <si>
    <t>(Being Purchased machinery through bank)</t>
  </si>
  <si>
    <t>22.01.2026</t>
  </si>
  <si>
    <t>Sharma Traders A/C</t>
  </si>
  <si>
    <t>(Being Paid Sharma Traders by cheque)</t>
  </si>
  <si>
    <t>23.01.2026</t>
  </si>
  <si>
    <t>(Being Paid carriage outward on sales)</t>
  </si>
  <si>
    <t>24.01.2026</t>
  </si>
  <si>
    <t>Kumar &amp; Co A/C</t>
  </si>
  <si>
    <t>(Being Sold goods on credit to Kumar &amp; Co)</t>
  </si>
  <si>
    <t>25.01.2026</t>
  </si>
  <si>
    <t xml:space="preserve">  To Gupta Traders A/C</t>
  </si>
  <si>
    <t>(Being Purchased goods on credit from Gupta Traders)</t>
  </si>
  <si>
    <t>26.01.2026</t>
  </si>
  <si>
    <t xml:space="preserve">  To Kumar &amp; Co A/C</t>
  </si>
  <si>
    <t>(Being Received cheque from Kumar &amp; Co. and deposited into bank)</t>
  </si>
  <si>
    <t>27.01.2026</t>
  </si>
  <si>
    <t>Electricity Charges A/C</t>
  </si>
  <si>
    <t>(Being Paid electricity charges by cheque)</t>
  </si>
  <si>
    <t>28.01.2026</t>
  </si>
  <si>
    <t xml:space="preserve">  To Interest on Investment A/C</t>
  </si>
  <si>
    <t>(Being Received interest on investments and credited to bank)</t>
  </si>
  <si>
    <t>29.01.2026</t>
  </si>
  <si>
    <t>Computer A/C</t>
  </si>
  <si>
    <t>(Being Purchased computer for office use through Bank of Baroda)</t>
  </si>
  <si>
    <t>30.01.2026</t>
  </si>
  <si>
    <t>Insurance Premium A/C</t>
  </si>
  <si>
    <t>(Being Paid insurance premium by cheque)</t>
  </si>
  <si>
    <t>In the Books of Journal Entries of Mr. Kumar Limited for the Year Ended 31st January 2026</t>
  </si>
  <si>
    <t>In the Books of Ledger Account of Mr. Kumar Limited for the Year Ended 31st January 2026</t>
  </si>
  <si>
    <t>Capital Account</t>
  </si>
  <si>
    <t>J.F</t>
  </si>
  <si>
    <t>Amount ₹</t>
  </si>
  <si>
    <t>Particular</t>
  </si>
  <si>
    <t>To Balance c/d</t>
  </si>
  <si>
    <t>By Cash A/C</t>
  </si>
  <si>
    <t>By Bank A/C</t>
  </si>
  <si>
    <t>By Balance b/d</t>
  </si>
  <si>
    <t xml:space="preserve">Cash Account </t>
  </si>
  <si>
    <t>To Capital A/C</t>
  </si>
  <si>
    <t>By Purchased A/C</t>
  </si>
  <si>
    <t>By Advance to Verma Suppliers A/C</t>
  </si>
  <si>
    <t>To Advance from Raj Enterprises A/C</t>
  </si>
  <si>
    <t>By Wages A/C</t>
  </si>
  <si>
    <t>By Carriage Inwards A/C</t>
  </si>
  <si>
    <t>To Purchased Return A/C</t>
  </si>
  <si>
    <t>By Office Expenses A/C</t>
  </si>
  <si>
    <t>By Stationery A/C</t>
  </si>
  <si>
    <t>To Sales A/C</t>
  </si>
  <si>
    <t>To Bank A/C</t>
  </si>
  <si>
    <t>By Carriage Outwards A/C</t>
  </si>
  <si>
    <t>31.01.2026</t>
  </si>
  <si>
    <t>By Balance c/d</t>
  </si>
  <si>
    <t>To Balance b/d</t>
  </si>
  <si>
    <t>01.02.2026</t>
  </si>
  <si>
    <t xml:space="preserve">Bank Acccount </t>
  </si>
  <si>
    <t>Dr.                                                                                                                                                                                                                                        Cr.</t>
  </si>
  <si>
    <t>By Office Furniture A/C</t>
  </si>
  <si>
    <t>By Salary A/C</t>
  </si>
  <si>
    <t>By Rent A/C</t>
  </si>
  <si>
    <t>Rent A/C</t>
  </si>
  <si>
    <t>By Machinery A/C</t>
  </si>
  <si>
    <t>By Sharma Traders A/C</t>
  </si>
  <si>
    <t>To Kumar &amp; Co A/C</t>
  </si>
  <si>
    <t>By Electricity Charges A/C</t>
  </si>
  <si>
    <t>To Interest on Investment A/C</t>
  </si>
  <si>
    <t>By Computer A/C</t>
  </si>
  <si>
    <t>By Insurance Premium A/C</t>
  </si>
  <si>
    <t xml:space="preserve">Purchased Account </t>
  </si>
  <si>
    <t>To Sharma Traders A/C</t>
  </si>
  <si>
    <t>To Cash A/C</t>
  </si>
  <si>
    <t>To Gupta Traders A/C</t>
  </si>
  <si>
    <t xml:space="preserve"> Sharma Traders Account </t>
  </si>
  <si>
    <t>Verma Suppliers A/C</t>
  </si>
  <si>
    <t xml:space="preserve">  To Raj Enterprises A/C</t>
  </si>
  <si>
    <t xml:space="preserve">Verma Suppliers Account </t>
  </si>
  <si>
    <t xml:space="preserve">Raj Enterprises Account </t>
  </si>
  <si>
    <t>By Sales Return A/C</t>
  </si>
  <si>
    <t xml:space="preserve">Wages Account </t>
  </si>
  <si>
    <t>Furniture A/C</t>
  </si>
  <si>
    <t xml:space="preserve">Furniture Account </t>
  </si>
  <si>
    <t xml:space="preserve">Carriage Inwards Account </t>
  </si>
  <si>
    <t xml:space="preserve">Purchased Return Account </t>
  </si>
  <si>
    <t xml:space="preserve">Sales Account </t>
  </si>
  <si>
    <t>By Raj Enterprises A/C</t>
  </si>
  <si>
    <t>By Kumar &amp; Co A/C</t>
  </si>
  <si>
    <t xml:space="preserve">Office Expenses Account </t>
  </si>
  <si>
    <t xml:space="preserve">Sales Return Account </t>
  </si>
  <si>
    <t>To Raj Enterprises A/C</t>
  </si>
  <si>
    <t xml:space="preserve">Stationery Account </t>
  </si>
  <si>
    <t xml:space="preserve">Salary Account </t>
  </si>
  <si>
    <t xml:space="preserve">Rent Account </t>
  </si>
  <si>
    <t xml:space="preserve">Machinery Account </t>
  </si>
  <si>
    <t>Carriage Outwards Account</t>
  </si>
  <si>
    <t>Carriage Outwards A/C</t>
  </si>
  <si>
    <t>Kumar &amp; Co Account</t>
  </si>
  <si>
    <t xml:space="preserve">Gupta Traders Account </t>
  </si>
  <si>
    <t>Electricity Charges Account</t>
  </si>
  <si>
    <t xml:space="preserve">Interest on Investment Account </t>
  </si>
  <si>
    <t>Computer Account</t>
  </si>
  <si>
    <t>Insurance Premium Account</t>
  </si>
  <si>
    <t>SI.NO</t>
  </si>
  <si>
    <t>Sales A/C</t>
  </si>
  <si>
    <t>Capital A/C</t>
  </si>
  <si>
    <t>Gupta Traders A/C</t>
  </si>
  <si>
    <t>Interest on Investment A/C</t>
  </si>
  <si>
    <t>Total</t>
  </si>
  <si>
    <t>Dr.                                                                                                                                                                                 Cr.</t>
  </si>
  <si>
    <r>
      <rPr>
        <b/>
        <sz val="14"/>
        <color theme="1"/>
        <rFont val="Times New Roman"/>
        <family val="1"/>
      </rPr>
      <t>Less :</t>
    </r>
    <r>
      <rPr>
        <sz val="14"/>
        <color theme="1"/>
        <rFont val="Times New Roman"/>
        <family val="1"/>
      </rPr>
      <t xml:space="preserve"> Purchased Return</t>
    </r>
  </si>
  <si>
    <t>Direct Expenses :</t>
  </si>
  <si>
    <t>To Opening Stock</t>
  </si>
  <si>
    <t>By Sales A/C</t>
  </si>
  <si>
    <t>To Purchased A/C</t>
  </si>
  <si>
    <r>
      <rPr>
        <b/>
        <sz val="14"/>
        <color theme="1"/>
        <rFont val="Times New Roman"/>
        <family val="1"/>
      </rPr>
      <t>Less :</t>
    </r>
    <r>
      <rPr>
        <sz val="14"/>
        <color theme="1"/>
        <rFont val="Times New Roman"/>
        <family val="1"/>
      </rPr>
      <t xml:space="preserve"> Sales Return</t>
    </r>
  </si>
  <si>
    <t xml:space="preserve">By Closing Stock </t>
  </si>
  <si>
    <t xml:space="preserve">             -</t>
  </si>
  <si>
    <t xml:space="preserve">          -</t>
  </si>
  <si>
    <t>To Wages A/C</t>
  </si>
  <si>
    <t>To Carriage Inwards A/C</t>
  </si>
  <si>
    <t>To Gross Profit c/d</t>
  </si>
  <si>
    <t>To Office Expenses A/C</t>
  </si>
  <si>
    <t>To Stationery A/C</t>
  </si>
  <si>
    <t>To Salary A/C</t>
  </si>
  <si>
    <r>
      <rPr>
        <b/>
        <sz val="14"/>
        <color theme="1"/>
        <rFont val="Times New Roman"/>
        <family val="1"/>
      </rPr>
      <t>Add :</t>
    </r>
    <r>
      <rPr>
        <sz val="14"/>
        <color theme="1"/>
        <rFont val="Times New Roman"/>
        <family val="1"/>
      </rPr>
      <t xml:space="preserve"> Outstanding Salary </t>
    </r>
  </si>
  <si>
    <t>To Rent A/C</t>
  </si>
  <si>
    <t>To Carriage Outwards A/C</t>
  </si>
  <si>
    <t>To Electricity Charges A/C</t>
  </si>
  <si>
    <r>
      <rPr>
        <b/>
        <sz val="14"/>
        <color theme="1"/>
        <rFont val="Times New Roman"/>
        <family val="1"/>
      </rPr>
      <t>Add :</t>
    </r>
    <r>
      <rPr>
        <sz val="14"/>
        <color theme="1"/>
        <rFont val="Times New Roman"/>
        <family val="1"/>
      </rPr>
      <t xml:space="preserve"> Outstanding Electricity Charges </t>
    </r>
  </si>
  <si>
    <t>By Gross Profit b/d</t>
  </si>
  <si>
    <r>
      <rPr>
        <b/>
        <sz val="14"/>
        <color theme="1"/>
        <rFont val="Times New Roman"/>
        <family val="1"/>
      </rPr>
      <t xml:space="preserve">Less : </t>
    </r>
    <r>
      <rPr>
        <sz val="14"/>
        <color theme="1"/>
        <rFont val="Times New Roman"/>
        <family val="1"/>
      </rPr>
      <t>Prepaid Expenses</t>
    </r>
  </si>
  <si>
    <t>Liabilities</t>
  </si>
  <si>
    <t>Assets</t>
  </si>
  <si>
    <t xml:space="preserve">Capital </t>
  </si>
  <si>
    <t xml:space="preserve">Cash in Hand </t>
  </si>
  <si>
    <t>Cash at Bank</t>
  </si>
  <si>
    <t>Current Liabilities :</t>
  </si>
  <si>
    <r>
      <rPr>
        <b/>
        <sz val="14"/>
        <color theme="1"/>
        <rFont val="Times New Roman"/>
        <family val="1"/>
      </rPr>
      <t>Add :</t>
    </r>
    <r>
      <rPr>
        <sz val="14"/>
        <color theme="1"/>
        <rFont val="Times New Roman"/>
        <family val="1"/>
      </rPr>
      <t xml:space="preserve"> Net Profit</t>
    </r>
  </si>
  <si>
    <t>Current Assets :</t>
  </si>
  <si>
    <t>Fixed Assets :</t>
  </si>
  <si>
    <t>Closing Stock</t>
  </si>
  <si>
    <t xml:space="preserve">To Depreciation on Furniture </t>
  </si>
  <si>
    <t xml:space="preserve">To Depreciation on Computer </t>
  </si>
  <si>
    <t>To Depreciation on Machinery</t>
  </si>
  <si>
    <t>To Net Profit (Transferred to Capital)</t>
  </si>
  <si>
    <t>Outstanding Salary</t>
  </si>
  <si>
    <t>Outstanding Electricity Charges</t>
  </si>
  <si>
    <t>Prepaid Expenses</t>
  </si>
  <si>
    <t>Accrued Income</t>
  </si>
  <si>
    <r>
      <rPr>
        <b/>
        <sz val="14"/>
        <color theme="1"/>
        <rFont val="Times New Roman"/>
        <family val="1"/>
      </rPr>
      <t>Less :</t>
    </r>
    <r>
      <rPr>
        <sz val="14"/>
        <color theme="1"/>
        <rFont val="Times New Roman"/>
        <family val="1"/>
      </rPr>
      <t xml:space="preserve"> Deprecation</t>
    </r>
  </si>
  <si>
    <r>
      <rPr>
        <b/>
        <sz val="14"/>
        <color theme="1"/>
        <rFont val="Times New Roman"/>
        <family val="1"/>
      </rPr>
      <t xml:space="preserve">Less : </t>
    </r>
    <r>
      <rPr>
        <sz val="14"/>
        <color theme="1"/>
        <rFont val="Times New Roman"/>
        <family val="1"/>
      </rPr>
      <t>Deprecation</t>
    </r>
  </si>
  <si>
    <t>Ratio Analysis</t>
  </si>
  <si>
    <t>Interpretation of results</t>
  </si>
  <si>
    <t>(Complete Ratio Analysis whichever is applicable)</t>
  </si>
  <si>
    <t>1. Current Ratio</t>
  </si>
  <si>
    <t>Ideal ratio is 2:1</t>
  </si>
  <si>
    <t>Current Assets</t>
  </si>
  <si>
    <t>Cash + Bank + Closing Stock + debtors</t>
  </si>
  <si>
    <t>Current Liabilities</t>
  </si>
  <si>
    <t>This indicates excellent short-term solvency and a very strong ability to meet its current obiligations.</t>
  </si>
  <si>
    <t>Current Ratio</t>
  </si>
  <si>
    <t>Too much money is tied up in current assets, reducing profitability.</t>
  </si>
  <si>
    <t>2. Quick Ratio</t>
  </si>
  <si>
    <t>Ideal ratio is 1:1</t>
  </si>
  <si>
    <t>Quick Assets</t>
  </si>
  <si>
    <t>This indicates excellent immediate liquidity and a very strong ability to meet short-term obiligations.</t>
  </si>
  <si>
    <t>Quick Ratio</t>
  </si>
  <si>
    <t>The company is holding too much cash and liquid assets instead of using them effectively.</t>
  </si>
  <si>
    <t>3. Cash Ratio</t>
  </si>
  <si>
    <t>(Cash + Cash Equivalents) / Current Liabilities</t>
  </si>
  <si>
    <t>Ideal ratio is 0.5:1</t>
  </si>
  <si>
    <t>Cash and Cash Equivalents</t>
  </si>
  <si>
    <t xml:space="preserve">Cash + Bank </t>
  </si>
  <si>
    <t>Comfortably</t>
  </si>
  <si>
    <t>Meet all its short-term obligations using only its cash and cash equivalents.</t>
  </si>
  <si>
    <t>Cash Ratio</t>
  </si>
  <si>
    <t>Excess cash is lying idle and not earning good returns.</t>
  </si>
  <si>
    <t>4. Debt-to-Equity Ratio</t>
  </si>
  <si>
    <t>Total Debt / Shareholders' Equity</t>
  </si>
  <si>
    <t>Total Debt</t>
  </si>
  <si>
    <t>Shareholders' Equity</t>
  </si>
  <si>
    <t>This indicates a very low level of financial average and a strong equity base.</t>
  </si>
  <si>
    <t>Debt-to-Equity Ratio</t>
  </si>
  <si>
    <t>Excess equity may reduce profitability</t>
  </si>
  <si>
    <t>5. Debt-to-Asset Ratio</t>
  </si>
  <si>
    <t>Total Debt / Total Assets</t>
  </si>
  <si>
    <t>Ideal ratio is &lt; 50 %</t>
  </si>
  <si>
    <t>Total Assets</t>
  </si>
  <si>
    <t>Balance Sheet Tally</t>
  </si>
  <si>
    <t>Indicates strong financial stability and a low level of financial risk.</t>
  </si>
  <si>
    <t>Debt-to-Assests Ratio</t>
  </si>
  <si>
    <t>The company depends more on equity than debt, which may reduce expansion opportunities.</t>
  </si>
  <si>
    <t>6. Assest Turnover Ratio</t>
  </si>
  <si>
    <t>Net Sales / Total Assets</t>
  </si>
  <si>
    <t>Ideal ratio is &gt; 2 times</t>
  </si>
  <si>
    <t>Net Sales</t>
  </si>
  <si>
    <t>Sales - Sales Return</t>
  </si>
  <si>
    <t>Assest Turnover Ratio</t>
  </si>
  <si>
    <t>The company is not using its assets efficiently to generate sales.</t>
  </si>
  <si>
    <t>7. Working Capital Turnover Ratio</t>
  </si>
  <si>
    <t>Net Sales / Working Capital</t>
  </si>
  <si>
    <t>Ideal Ratio is &gt; 5 times.</t>
  </si>
  <si>
    <t>Working Capital</t>
  </si>
  <si>
    <t>Current Assest - Current Liabilities</t>
  </si>
  <si>
    <t>Working Capital turnover Ratio</t>
  </si>
  <si>
    <t>Working capital is not being used effectively to increase sales.</t>
  </si>
  <si>
    <t>8.  Inventory Turnover Ratio</t>
  </si>
  <si>
    <t>Cost of goods sold / Average Inventory</t>
  </si>
  <si>
    <t xml:space="preserve">Ideal ratio is &gt; 5times </t>
  </si>
  <si>
    <t>Cost of good sold</t>
  </si>
  <si>
    <t>Opening Stock + Purchased + Direct Expenses - Closing Stock</t>
  </si>
  <si>
    <t>Average inventory</t>
  </si>
  <si>
    <t>Opening Stock + Closing Stock / 2</t>
  </si>
  <si>
    <t>Movement and relatively lower sales efficiency.</t>
  </si>
  <si>
    <t>Inventory Turnover Ratio</t>
  </si>
  <si>
    <t>The inventory is moving slowly, which may increase storage costs and the risk of old stock</t>
  </si>
  <si>
    <t>67,10,000 / 4,32,000</t>
  </si>
  <si>
    <t xml:space="preserve">Capital + Net Profit </t>
  </si>
  <si>
    <t>Creditors + Outstanding Expenses</t>
  </si>
  <si>
    <t>62,97,000 / 4,32,000</t>
  </si>
  <si>
    <t>64,62,000 / 4,32,000</t>
  </si>
  <si>
    <t>4,32,000 / 65,61,500</t>
  </si>
  <si>
    <t>4,32,000 / 69,93,500</t>
  </si>
  <si>
    <t>6,10,000 / 69,93,500</t>
  </si>
  <si>
    <t>6,10,000 / 62,78,000</t>
  </si>
  <si>
    <t>4,30,000 / 1,22,500</t>
  </si>
  <si>
    <t>The firm has ₹ 15.5 of current assets for every ₹1 of Current Liabilities.</t>
  </si>
  <si>
    <t>The firm has ₹ 15.0 of Liquid assets for every ₹ 1 of Current Liabilities.</t>
  </si>
  <si>
    <t>The firm has ₹ 14.6 of cash and cash equivalents for every ₹1 of current liabilites.</t>
  </si>
  <si>
    <t>The firm has ₹ 0.07 of debt for every ₹ 1 of shareholders equity.</t>
  </si>
  <si>
    <t>The firm has ₹ 0.06 of debt for every ₹ 1 invested in total assets.</t>
  </si>
  <si>
    <t>The firm generates only ₹ 0.09 of net sales for every ₹ 1 invested in total assests.</t>
  </si>
  <si>
    <t>The firm generates only ₹ 0.10 of net sales for every ₹ 1 of working capital.</t>
  </si>
  <si>
    <t>The firm turns over its inventory ₹ 3.5 times during the year. This indicates slow Inventory</t>
  </si>
  <si>
    <t>The firm finances 6% of its assets through debt.</t>
  </si>
  <si>
    <t>This indicates the business generates sales equal to 9% of its total assests.</t>
  </si>
  <si>
    <t>This indicates the business generates sales equal to 10% of its working capital.</t>
  </si>
  <si>
    <t>Trial Balance as on 31st January 2026</t>
  </si>
  <si>
    <t>Purchase Return A/C</t>
  </si>
  <si>
    <t>Profit &amp; Loss Account for the year Ended 31st January 2026</t>
  </si>
  <si>
    <t>To Insurance Premium A/C</t>
  </si>
  <si>
    <t>By Interest on Investment A/C</t>
  </si>
  <si>
    <r>
      <rPr>
        <b/>
        <sz val="14"/>
        <color theme="1"/>
        <rFont val="Times New Roman"/>
        <family val="1"/>
      </rPr>
      <t>Add :</t>
    </r>
    <r>
      <rPr>
        <sz val="14"/>
        <color theme="1"/>
        <rFont val="Times New Roman"/>
        <family val="1"/>
      </rPr>
      <t xml:space="preserve"> Accrued Income</t>
    </r>
  </si>
  <si>
    <t>Dr.                                                                                                                                                                                                                    Cr.</t>
  </si>
  <si>
    <t>Trading Account for the year Ended 31st January 2026</t>
  </si>
  <si>
    <t>Balance Sheet as on 31st January 2026</t>
  </si>
  <si>
    <t>Current Assets / Current Liabilities</t>
  </si>
  <si>
    <t>Current Assets - Inventory - Prepaid Expenses</t>
  </si>
  <si>
    <t>(Current Assets - Inventory - Prepaid Expenses) / Current 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</si>
</sst>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8"/>
      <name val="Calibri"/>
      <family val="2"/>
      <scheme val="minor"/>
    </font>
    <font>
      <b/>
      <sz val="14"/>
      <color rgb="FF0C0C0C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9CC2E5"/>
        <bgColor indexed="64"/>
      </patternFill>
    </fill>
    <fill>
      <patternFill patternType="solid">
        <fgColor rgb="FFBDD6EE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53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wrapText="1"/>
    </xf>
    <xf numFmtId="0" fontId="1" fillId="2" borderId="6" xfId="0" applyFont="1" applyFill="1" applyBorder="1" applyAlignment="1">
      <alignment wrapText="1"/>
    </xf>
    <xf numFmtId="17" fontId="1" fillId="2" borderId="5" xfId="0" applyNumberFormat="1" applyFont="1" applyFill="1" applyBorder="1" applyAlignment="1">
      <alignment horizontal="right" wrapText="1"/>
    </xf>
    <xf numFmtId="3" fontId="1" fillId="2" borderId="6" xfId="0" applyNumberFormat="1" applyFont="1" applyFill="1" applyBorder="1" applyAlignment="1">
      <alignment horizontal="right" wrapText="1"/>
    </xf>
    <xf numFmtId="0" fontId="1" fillId="2" borderId="7" xfId="0" applyFont="1" applyFill="1" applyBorder="1" applyAlignment="1">
      <alignment wrapText="1"/>
    </xf>
    <xf numFmtId="0" fontId="1" fillId="2" borderId="8" xfId="0" applyFont="1" applyFill="1" applyBorder="1" applyAlignment="1">
      <alignment wrapText="1"/>
    </xf>
    <xf numFmtId="0" fontId="1" fillId="2" borderId="9" xfId="0" applyFont="1" applyFill="1" applyBorder="1" applyAlignment="1">
      <alignment wrapText="1"/>
    </xf>
    <xf numFmtId="0" fontId="1" fillId="2" borderId="4" xfId="0" applyFont="1" applyFill="1" applyBorder="1" applyAlignment="1">
      <alignment wrapText="1"/>
    </xf>
    <xf numFmtId="0" fontId="1" fillId="2" borderId="18" xfId="0" applyFont="1" applyFill="1" applyBorder="1" applyAlignment="1">
      <alignment wrapText="1"/>
    </xf>
    <xf numFmtId="17" fontId="1" fillId="2" borderId="21" xfId="0" applyNumberFormat="1" applyFont="1" applyFill="1" applyBorder="1" applyAlignment="1">
      <alignment horizontal="right" wrapText="1"/>
    </xf>
    <xf numFmtId="0" fontId="1" fillId="2" borderId="22" xfId="0" applyFont="1" applyFill="1" applyBorder="1" applyAlignment="1">
      <alignment wrapText="1"/>
    </xf>
    <xf numFmtId="3" fontId="1" fillId="2" borderId="23" xfId="0" applyNumberFormat="1" applyFont="1" applyFill="1" applyBorder="1" applyAlignment="1">
      <alignment horizontal="right" wrapText="1"/>
    </xf>
    <xf numFmtId="0" fontId="2" fillId="2" borderId="24" xfId="0" applyFont="1" applyFill="1" applyBorder="1" applyAlignment="1">
      <alignment horizontal="center" wrapText="1"/>
    </xf>
    <xf numFmtId="0" fontId="2" fillId="2" borderId="25" xfId="0" applyFont="1" applyFill="1" applyBorder="1" applyAlignment="1">
      <alignment horizontal="center" wrapText="1"/>
    </xf>
    <xf numFmtId="0" fontId="2" fillId="2" borderId="26" xfId="0" applyFont="1" applyFill="1" applyBorder="1" applyAlignment="1">
      <alignment horizontal="center" wrapText="1"/>
    </xf>
    <xf numFmtId="0" fontId="2" fillId="0" borderId="2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1" fillId="0" borderId="2" xfId="0" applyFont="1" applyBorder="1"/>
    <xf numFmtId="0" fontId="1" fillId="0" borderId="3" xfId="0" applyFont="1" applyBorder="1"/>
    <xf numFmtId="3" fontId="1" fillId="0" borderId="3" xfId="0" applyNumberFormat="1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1" xfId="0" applyFont="1" applyBorder="1"/>
    <xf numFmtId="3" fontId="1" fillId="0" borderId="1" xfId="0" applyNumberFormat="1" applyFont="1" applyBorder="1"/>
    <xf numFmtId="0" fontId="1" fillId="0" borderId="6" xfId="0" applyFont="1" applyBorder="1"/>
    <xf numFmtId="3" fontId="1" fillId="0" borderId="6" xfId="0" applyNumberFormat="1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3" fontId="1" fillId="0" borderId="4" xfId="0" applyNumberFormat="1" applyFont="1" applyBorder="1"/>
    <xf numFmtId="3" fontId="2" fillId="0" borderId="1" xfId="0" applyNumberFormat="1" applyFont="1" applyBorder="1"/>
    <xf numFmtId="3" fontId="2" fillId="0" borderId="6" xfId="0" applyNumberFormat="1" applyFont="1" applyBorder="1"/>
    <xf numFmtId="3" fontId="1" fillId="0" borderId="9" xfId="0" applyNumberFormat="1" applyFont="1" applyBorder="1"/>
    <xf numFmtId="3" fontId="1" fillId="0" borderId="0" xfId="0" applyNumberFormat="1" applyFont="1"/>
    <xf numFmtId="3" fontId="2" fillId="0" borderId="8" xfId="0" applyNumberFormat="1" applyFont="1" applyBorder="1"/>
    <xf numFmtId="3" fontId="2" fillId="0" borderId="9" xfId="0" applyNumberFormat="1" applyFont="1" applyBorder="1"/>
    <xf numFmtId="0" fontId="2" fillId="0" borderId="30" xfId="0" applyFont="1" applyBorder="1" applyAlignment="1">
      <alignment horizontal="center"/>
    </xf>
    <xf numFmtId="3" fontId="1" fillId="0" borderId="8" xfId="0" applyNumberFormat="1" applyFont="1" applyBorder="1"/>
    <xf numFmtId="0" fontId="0" fillId="0" borderId="1" xfId="0" applyBorder="1"/>
    <xf numFmtId="0" fontId="0" fillId="0" borderId="9" xfId="0" applyBorder="1"/>
    <xf numFmtId="0" fontId="0" fillId="0" borderId="5" xfId="0" applyBorder="1"/>
    <xf numFmtId="0" fontId="2" fillId="0" borderId="1" xfId="0" applyFont="1" applyBorder="1"/>
    <xf numFmtId="0" fontId="1" fillId="0" borderId="35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11" xfId="0" applyFont="1" applyBorder="1"/>
    <xf numFmtId="0" fontId="1" fillId="0" borderId="14" xfId="0" applyFont="1" applyBorder="1"/>
    <xf numFmtId="0" fontId="1" fillId="0" borderId="38" xfId="0" applyFont="1" applyBorder="1"/>
    <xf numFmtId="0" fontId="2" fillId="0" borderId="12" xfId="0" applyFont="1" applyBorder="1"/>
    <xf numFmtId="0" fontId="2" fillId="0" borderId="15" xfId="0" applyFont="1" applyBorder="1"/>
    <xf numFmtId="3" fontId="1" fillId="0" borderId="15" xfId="0" applyNumberFormat="1" applyFont="1" applyBorder="1"/>
    <xf numFmtId="0" fontId="1" fillId="0" borderId="39" xfId="0" applyFont="1" applyBorder="1"/>
    <xf numFmtId="3" fontId="1" fillId="0" borderId="35" xfId="0" applyNumberFormat="1" applyFont="1" applyBorder="1"/>
    <xf numFmtId="3" fontId="1" fillId="0" borderId="36" xfId="0" applyNumberFormat="1" applyFont="1" applyBorder="1"/>
    <xf numFmtId="0" fontId="2" fillId="0" borderId="36" xfId="0" applyFont="1" applyBorder="1"/>
    <xf numFmtId="0" fontId="1" fillId="0" borderId="37" xfId="0" applyFont="1" applyBorder="1"/>
    <xf numFmtId="3" fontId="2" fillId="0" borderId="33" xfId="0" applyNumberFormat="1" applyFont="1" applyBorder="1"/>
    <xf numFmtId="3" fontId="2" fillId="0" borderId="32" xfId="0" applyNumberFormat="1" applyFont="1" applyBorder="1"/>
    <xf numFmtId="0" fontId="0" fillId="0" borderId="8" xfId="0" applyBorder="1"/>
    <xf numFmtId="0" fontId="2" fillId="0" borderId="41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2" fillId="0" borderId="3" xfId="0" applyFont="1" applyBorder="1"/>
    <xf numFmtId="0" fontId="2" fillId="0" borderId="5" xfId="0" applyFont="1" applyBorder="1"/>
    <xf numFmtId="0" fontId="1" fillId="0" borderId="22" xfId="0" applyFont="1" applyBorder="1"/>
    <xf numFmtId="3" fontId="1" fillId="0" borderId="22" xfId="0" applyNumberFormat="1" applyFont="1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1" fillId="0" borderId="42" xfId="0" applyFont="1" applyBorder="1"/>
    <xf numFmtId="3" fontId="0" fillId="0" borderId="6" xfId="0" applyNumberFormat="1" applyBorder="1"/>
    <xf numFmtId="0" fontId="2" fillId="3" borderId="44" xfId="0" applyFont="1" applyFill="1" applyBorder="1" applyAlignment="1">
      <alignment horizontal="center" wrapText="1"/>
    </xf>
    <xf numFmtId="0" fontId="0" fillId="3" borderId="46" xfId="0" applyFill="1" applyBorder="1" applyAlignment="1">
      <alignment wrapText="1"/>
    </xf>
    <xf numFmtId="0" fontId="2" fillId="4" borderId="44" xfId="0" applyFont="1" applyFill="1" applyBorder="1" applyAlignment="1">
      <alignment wrapText="1"/>
    </xf>
    <xf numFmtId="0" fontId="0" fillId="5" borderId="44" xfId="0" applyFill="1" applyBorder="1" applyAlignment="1">
      <alignment wrapText="1"/>
    </xf>
    <xf numFmtId="0" fontId="0" fillId="6" borderId="47" xfId="0" applyFill="1" applyBorder="1" applyAlignment="1">
      <alignment wrapText="1"/>
    </xf>
    <xf numFmtId="0" fontId="1" fillId="6" borderId="47" xfId="0" applyFont="1" applyFill="1" applyBorder="1" applyAlignment="1">
      <alignment wrapText="1"/>
    </xf>
    <xf numFmtId="0" fontId="1" fillId="6" borderId="47" xfId="0" applyFont="1" applyFill="1" applyBorder="1" applyAlignment="1">
      <alignment horizontal="right" wrapText="1"/>
    </xf>
    <xf numFmtId="0" fontId="1" fillId="6" borderId="47" xfId="0" applyFont="1" applyFill="1" applyBorder="1" applyAlignment="1">
      <alignment horizontal="center" wrapText="1"/>
    </xf>
    <xf numFmtId="3" fontId="1" fillId="6" borderId="47" xfId="0" applyNumberFormat="1" applyFont="1" applyFill="1" applyBorder="1" applyAlignment="1">
      <alignment horizontal="right" wrapText="1"/>
    </xf>
    <xf numFmtId="0" fontId="1" fillId="6" borderId="46" xfId="0" applyFont="1" applyFill="1" applyBorder="1" applyAlignment="1">
      <alignment horizontal="right" wrapText="1"/>
    </xf>
    <xf numFmtId="0" fontId="1" fillId="6" borderId="46" xfId="0" applyFont="1" applyFill="1" applyBorder="1" applyAlignment="1">
      <alignment horizontal="center" wrapText="1"/>
    </xf>
    <xf numFmtId="164" fontId="2" fillId="6" borderId="46" xfId="0" applyNumberFormat="1" applyFont="1" applyFill="1" applyBorder="1" applyAlignment="1">
      <alignment horizontal="right" wrapText="1"/>
    </xf>
    <xf numFmtId="0" fontId="1" fillId="6" borderId="46" xfId="0" applyFont="1" applyFill="1" applyBorder="1" applyAlignment="1">
      <alignment wrapText="1"/>
    </xf>
    <xf numFmtId="0" fontId="0" fillId="5" borderId="47" xfId="0" applyFill="1" applyBorder="1" applyAlignment="1">
      <alignment wrapText="1"/>
    </xf>
    <xf numFmtId="0" fontId="0" fillId="5" borderId="20" xfId="0" applyFill="1" applyBorder="1" applyAlignment="1">
      <alignment wrapText="1"/>
    </xf>
    <xf numFmtId="0" fontId="1" fillId="5" borderId="47" xfId="0" applyFont="1" applyFill="1" applyBorder="1" applyAlignment="1">
      <alignment wrapText="1"/>
    </xf>
    <xf numFmtId="0" fontId="1" fillId="5" borderId="47" xfId="0" applyFont="1" applyFill="1" applyBorder="1" applyAlignment="1">
      <alignment horizontal="right" wrapText="1"/>
    </xf>
    <xf numFmtId="0" fontId="1" fillId="5" borderId="20" xfId="0" applyFont="1" applyFill="1" applyBorder="1" applyAlignment="1">
      <alignment horizontal="center" wrapText="1"/>
    </xf>
    <xf numFmtId="3" fontId="1" fillId="5" borderId="20" xfId="0" applyNumberFormat="1" applyFont="1" applyFill="1" applyBorder="1" applyAlignment="1">
      <alignment horizontal="right" wrapText="1"/>
    </xf>
    <xf numFmtId="0" fontId="1" fillId="5" borderId="46" xfId="0" applyFont="1" applyFill="1" applyBorder="1" applyAlignment="1">
      <alignment horizontal="right" wrapText="1"/>
    </xf>
    <xf numFmtId="0" fontId="1" fillId="5" borderId="33" xfId="0" applyFont="1" applyFill="1" applyBorder="1" applyAlignment="1">
      <alignment horizontal="center" wrapText="1"/>
    </xf>
    <xf numFmtId="164" fontId="2" fillId="5" borderId="33" xfId="0" applyNumberFormat="1" applyFont="1" applyFill="1" applyBorder="1" applyAlignment="1">
      <alignment horizontal="right" wrapText="1"/>
    </xf>
    <xf numFmtId="0" fontId="1" fillId="5" borderId="46" xfId="0" applyFont="1" applyFill="1" applyBorder="1" applyAlignment="1">
      <alignment wrapText="1"/>
    </xf>
    <xf numFmtId="0" fontId="1" fillId="5" borderId="44" xfId="0" applyFont="1" applyFill="1" applyBorder="1" applyAlignment="1">
      <alignment wrapText="1"/>
    </xf>
    <xf numFmtId="0" fontId="0" fillId="5" borderId="19" xfId="0" applyFill="1" applyBorder="1" applyAlignment="1">
      <alignment wrapText="1"/>
    </xf>
    <xf numFmtId="0" fontId="1" fillId="5" borderId="47" xfId="0" applyFont="1" applyFill="1" applyBorder="1" applyAlignment="1">
      <alignment vertical="center"/>
    </xf>
    <xf numFmtId="0" fontId="1" fillId="5" borderId="19" xfId="0" applyFont="1" applyFill="1" applyBorder="1" applyAlignment="1">
      <alignment horizontal="center" wrapText="1"/>
    </xf>
    <xf numFmtId="3" fontId="1" fillId="5" borderId="19" xfId="0" applyNumberFormat="1" applyFont="1" applyFill="1" applyBorder="1" applyAlignment="1">
      <alignment horizontal="right" wrapText="1"/>
    </xf>
    <xf numFmtId="0" fontId="1" fillId="5" borderId="45" xfId="0" applyFont="1" applyFill="1" applyBorder="1" applyAlignment="1">
      <alignment horizontal="center" wrapText="1"/>
    </xf>
    <xf numFmtId="164" fontId="2" fillId="5" borderId="45" xfId="0" applyNumberFormat="1" applyFont="1" applyFill="1" applyBorder="1" applyAlignment="1">
      <alignment horizontal="right" wrapText="1"/>
    </xf>
    <xf numFmtId="0" fontId="2" fillId="4" borderId="47" xfId="0" applyFont="1" applyFill="1" applyBorder="1" applyAlignment="1">
      <alignment wrapText="1"/>
    </xf>
    <xf numFmtId="3" fontId="1" fillId="5" borderId="47" xfId="0" applyNumberFormat="1" applyFont="1" applyFill="1" applyBorder="1" applyAlignment="1">
      <alignment horizontal="right" wrapText="1"/>
    </xf>
    <xf numFmtId="0" fontId="1" fillId="5" borderId="47" xfId="0" applyFont="1" applyFill="1" applyBorder="1" applyAlignment="1">
      <alignment horizontal="center" wrapText="1"/>
    </xf>
    <xf numFmtId="0" fontId="1" fillId="5" borderId="46" xfId="0" applyFont="1" applyFill="1" applyBorder="1" applyAlignment="1">
      <alignment horizontal="center" wrapText="1"/>
    </xf>
    <xf numFmtId="2" fontId="2" fillId="5" borderId="46" xfId="0" applyNumberFormat="1" applyFont="1" applyFill="1" applyBorder="1" applyAlignment="1">
      <alignment horizontal="right" wrapText="1"/>
    </xf>
    <xf numFmtId="2" fontId="2" fillId="5" borderId="47" xfId="0" applyNumberFormat="1" applyFont="1" applyFill="1" applyBorder="1" applyAlignment="1">
      <alignment horizontal="right" wrapText="1"/>
    </xf>
    <xf numFmtId="0" fontId="2" fillId="7" borderId="44" xfId="0" applyFont="1" applyFill="1" applyBorder="1"/>
    <xf numFmtId="0" fontId="1" fillId="6" borderId="43" xfId="0" applyFont="1" applyFill="1" applyBorder="1"/>
    <xf numFmtId="0" fontId="1" fillId="6" borderId="47" xfId="0" applyFont="1" applyFill="1" applyBorder="1"/>
    <xf numFmtId="0" fontId="1" fillId="6" borderId="20" xfId="0" applyFont="1" applyFill="1" applyBorder="1"/>
    <xf numFmtId="0" fontId="1" fillId="6" borderId="47" xfId="0" applyFont="1" applyFill="1" applyBorder="1" applyAlignment="1">
      <alignment horizontal="right"/>
    </xf>
    <xf numFmtId="0" fontId="1" fillId="6" borderId="47" xfId="0" applyFont="1" applyFill="1" applyBorder="1" applyAlignment="1">
      <alignment horizontal="center"/>
    </xf>
    <xf numFmtId="3" fontId="1" fillId="6" borderId="47" xfId="0" applyNumberFormat="1" applyFont="1" applyFill="1" applyBorder="1"/>
    <xf numFmtId="0" fontId="1" fillId="6" borderId="48" xfId="0" applyFont="1" applyFill="1" applyBorder="1"/>
    <xf numFmtId="0" fontId="1" fillId="6" borderId="46" xfId="0" applyFont="1" applyFill="1" applyBorder="1" applyAlignment="1">
      <alignment horizontal="right"/>
    </xf>
    <xf numFmtId="0" fontId="1" fillId="6" borderId="46" xfId="0" applyFont="1" applyFill="1" applyBorder="1" applyAlignment="1">
      <alignment horizontal="center"/>
    </xf>
    <xf numFmtId="164" fontId="2" fillId="6" borderId="46" xfId="0" applyNumberFormat="1" applyFont="1" applyFill="1" applyBorder="1"/>
    <xf numFmtId="0" fontId="1" fillId="6" borderId="33" xfId="0" applyFont="1" applyFill="1" applyBorder="1"/>
    <xf numFmtId="0" fontId="2" fillId="4" borderId="41" xfId="0" applyFont="1" applyFill="1" applyBorder="1" applyAlignment="1">
      <alignment horizontal="center" wrapText="1"/>
    </xf>
    <xf numFmtId="0" fontId="2" fillId="4" borderId="43" xfId="0" applyFont="1" applyFill="1" applyBorder="1" applyAlignment="1">
      <alignment horizontal="center" wrapText="1"/>
    </xf>
    <xf numFmtId="0" fontId="2" fillId="7" borderId="41" xfId="0" applyFont="1" applyFill="1" applyBorder="1" applyAlignment="1">
      <alignment horizontal="center"/>
    </xf>
    <xf numFmtId="0" fontId="2" fillId="7" borderId="43" xfId="0" applyFont="1" applyFill="1" applyBorder="1" applyAlignment="1">
      <alignment horizontal="center"/>
    </xf>
    <xf numFmtId="0" fontId="2" fillId="3" borderId="41" xfId="0" applyFont="1" applyFill="1" applyBorder="1" applyAlignment="1">
      <alignment horizontal="center" wrapText="1"/>
    </xf>
    <xf numFmtId="0" fontId="2" fillId="3" borderId="30" xfId="0" applyFont="1" applyFill="1" applyBorder="1" applyAlignment="1">
      <alignment horizontal="center" wrapText="1"/>
    </xf>
    <xf numFmtId="0" fontId="2" fillId="3" borderId="43" xfId="0" applyFont="1" applyFill="1" applyBorder="1" applyAlignment="1">
      <alignment horizontal="center" wrapText="1"/>
    </xf>
    <xf numFmtId="0" fontId="4" fillId="3" borderId="45" xfId="0" applyFont="1" applyFill="1" applyBorder="1" applyAlignment="1">
      <alignment horizontal="center" wrapText="1"/>
    </xf>
    <xf numFmtId="0" fontId="4" fillId="3" borderId="31" xfId="0" applyFont="1" applyFill="1" applyBorder="1" applyAlignment="1">
      <alignment horizontal="center" wrapText="1"/>
    </xf>
    <xf numFmtId="0" fontId="4" fillId="3" borderId="33" xfId="0" applyFont="1" applyFill="1" applyBorder="1" applyAlignment="1">
      <alignment horizontal="center" wrapText="1"/>
    </xf>
    <xf numFmtId="0" fontId="2" fillId="4" borderId="41" xfId="0" applyFont="1" applyFill="1" applyBorder="1" applyAlignment="1">
      <alignment horizontal="center" vertical="center"/>
    </xf>
    <xf numFmtId="0" fontId="2" fillId="4" borderId="43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2" fillId="2" borderId="10" xfId="0" applyFont="1" applyFill="1" applyBorder="1" applyAlignment="1">
      <alignment horizontal="center" wrapText="1"/>
    </xf>
    <xf numFmtId="0" fontId="2" fillId="2" borderId="11" xfId="0" applyFont="1" applyFill="1" applyBorder="1" applyAlignment="1">
      <alignment horizontal="center" wrapText="1"/>
    </xf>
    <xf numFmtId="0" fontId="2" fillId="2" borderId="12" xfId="0" applyFont="1" applyFill="1" applyBorder="1" applyAlignment="1">
      <alignment horizontal="center" wrapText="1"/>
    </xf>
    <xf numFmtId="0" fontId="1" fillId="2" borderId="13" xfId="0" applyFont="1" applyFill="1" applyBorder="1" applyAlignment="1">
      <alignment horizontal="center" wrapText="1"/>
    </xf>
    <xf numFmtId="0" fontId="1" fillId="2" borderId="14" xfId="0" applyFont="1" applyFill="1" applyBorder="1" applyAlignment="1">
      <alignment horizontal="center" wrapText="1"/>
    </xf>
    <xf numFmtId="0" fontId="1" fillId="2" borderId="15" xfId="0" applyFont="1" applyFill="1" applyBorder="1" applyAlignment="1">
      <alignment horizontal="center" wrapText="1"/>
    </xf>
    <xf numFmtId="0" fontId="2" fillId="2" borderId="19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20" xfId="0" applyFont="1" applyFill="1" applyBorder="1" applyAlignment="1">
      <alignment horizontal="center" wrapText="1"/>
    </xf>
    <xf numFmtId="0" fontId="2" fillId="2" borderId="16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2" fillId="0" borderId="0" xfId="0" applyFont="1" applyAlignment="1">
      <alignment horizontal="center"/>
    </xf>
    <xf numFmtId="0" fontId="2" fillId="0" borderId="31" xfId="0" applyFont="1" applyBorder="1" applyAlignment="1">
      <alignment horizontal="center"/>
    </xf>
    <xf numFmtId="0" fontId="2" fillId="0" borderId="0" xfId="0" applyFont="1"/>
    <xf numFmtId="0" fontId="2" fillId="0" borderId="34" xfId="0" applyFont="1" applyBorder="1" applyAlignment="1">
      <alignment horizontal="center"/>
    </xf>
    <xf numFmtId="0" fontId="2" fillId="0" borderId="4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03BDC-30F2-4AC9-BE39-E63FC19069E7}">
  <dimension ref="A1:AP482"/>
  <sheetViews>
    <sheetView workbookViewId="0">
      <selection activeCell="F8" sqref="F8"/>
    </sheetView>
  </sheetViews>
  <sheetFormatPr defaultRowHeight="14.5" x14ac:dyDescent="0.35"/>
  <cols>
    <col min="1" max="1" width="8.81640625" customWidth="1"/>
    <col min="2" max="2" width="88" customWidth="1"/>
    <col min="3" max="3" width="16.6328125" customWidth="1"/>
    <col min="6" max="6" width="9.90625" bestFit="1" customWidth="1"/>
  </cols>
  <sheetData>
    <row r="1" spans="1:42" ht="42.5" customHeight="1" x14ac:dyDescent="0.4">
      <c r="A1" s="135" t="s">
        <v>0</v>
      </c>
      <c r="B1" s="136"/>
      <c r="C1" s="137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ht="18" x14ac:dyDescent="0.4">
      <c r="A2" s="138"/>
      <c r="B2" s="139"/>
      <c r="C2" s="140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</row>
    <row r="3" spans="1:42" ht="18.5" thickBot="1" x14ac:dyDescent="0.45">
      <c r="A3" s="144" t="s">
        <v>1</v>
      </c>
      <c r="B3" s="145"/>
      <c r="C3" s="10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</row>
    <row r="4" spans="1:42" ht="18.5" thickBot="1" x14ac:dyDescent="0.45">
      <c r="A4" s="14" t="s">
        <v>2</v>
      </c>
      <c r="B4" s="15" t="s">
        <v>3</v>
      </c>
      <c r="C4" s="16" t="s">
        <v>4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</row>
    <row r="5" spans="1:42" ht="18" x14ac:dyDescent="0.4">
      <c r="A5" s="11">
        <v>36892</v>
      </c>
      <c r="B5" s="12" t="s">
        <v>5</v>
      </c>
      <c r="C5" s="13">
        <v>6500000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</row>
    <row r="6" spans="1:42" ht="18" x14ac:dyDescent="0.4">
      <c r="A6" s="4">
        <v>37257</v>
      </c>
      <c r="B6" s="2" t="s">
        <v>6</v>
      </c>
      <c r="C6" s="5">
        <v>250000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</row>
    <row r="7" spans="1:42" ht="18" x14ac:dyDescent="0.4">
      <c r="A7" s="4">
        <v>37622</v>
      </c>
      <c r="B7" s="2" t="s">
        <v>7</v>
      </c>
      <c r="C7" s="5">
        <v>25000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</row>
    <row r="8" spans="1:42" ht="18" x14ac:dyDescent="0.4">
      <c r="A8" s="4">
        <v>37987</v>
      </c>
      <c r="B8" s="2" t="s">
        <v>8</v>
      </c>
      <c r="C8" s="5">
        <v>55000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</row>
    <row r="9" spans="1:42" ht="18" x14ac:dyDescent="0.4">
      <c r="A9" s="4">
        <v>38353</v>
      </c>
      <c r="B9" s="2" t="s">
        <v>9</v>
      </c>
      <c r="C9" s="5">
        <v>120000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</row>
    <row r="10" spans="1:42" ht="18" x14ac:dyDescent="0.4">
      <c r="A10" s="4">
        <v>38718</v>
      </c>
      <c r="B10" s="2" t="s">
        <v>10</v>
      </c>
      <c r="C10" s="5">
        <v>42000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</row>
    <row r="11" spans="1:42" ht="18" x14ac:dyDescent="0.4">
      <c r="A11" s="4">
        <v>39083</v>
      </c>
      <c r="B11" s="2" t="s">
        <v>11</v>
      </c>
      <c r="C11" s="5">
        <v>20000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</row>
    <row r="12" spans="1:42" ht="18" x14ac:dyDescent="0.4">
      <c r="A12" s="4">
        <v>39448</v>
      </c>
      <c r="B12" s="2" t="s">
        <v>12</v>
      </c>
      <c r="C12" s="5">
        <v>10000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</row>
    <row r="13" spans="1:42" ht="18" x14ac:dyDescent="0.4">
      <c r="A13" s="4">
        <v>39814</v>
      </c>
      <c r="B13" s="2" t="s">
        <v>13</v>
      </c>
      <c r="C13" s="5">
        <v>30000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</row>
    <row r="14" spans="1:42" ht="18" x14ac:dyDescent="0.4">
      <c r="A14" s="4">
        <v>40179</v>
      </c>
      <c r="B14" s="2" t="s">
        <v>14</v>
      </c>
      <c r="C14" s="5">
        <v>300000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</row>
    <row r="15" spans="1:42" ht="18" x14ac:dyDescent="0.4">
      <c r="A15" s="4">
        <v>40544</v>
      </c>
      <c r="B15" s="2" t="s">
        <v>15</v>
      </c>
      <c r="C15" s="5">
        <v>15000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</row>
    <row r="16" spans="1:42" ht="18" x14ac:dyDescent="0.4">
      <c r="A16" s="4">
        <v>40909</v>
      </c>
      <c r="B16" s="2" t="s">
        <v>16</v>
      </c>
      <c r="C16" s="5">
        <v>50000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</row>
    <row r="17" spans="1:42" ht="18" x14ac:dyDescent="0.4">
      <c r="A17" s="4">
        <v>41275</v>
      </c>
      <c r="B17" s="2" t="s">
        <v>17</v>
      </c>
      <c r="C17" s="5">
        <v>5000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</row>
    <row r="18" spans="1:42" ht="18" x14ac:dyDescent="0.4">
      <c r="A18" s="4">
        <v>41640</v>
      </c>
      <c r="B18" s="2" t="s">
        <v>18</v>
      </c>
      <c r="C18" s="5">
        <v>200000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</row>
    <row r="19" spans="1:42" ht="18" x14ac:dyDescent="0.4">
      <c r="A19" s="4">
        <v>42005</v>
      </c>
      <c r="B19" s="2" t="s">
        <v>19</v>
      </c>
      <c r="C19" s="5">
        <v>80000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</row>
    <row r="20" spans="1:42" ht="18" x14ac:dyDescent="0.4">
      <c r="A20" s="4">
        <v>42370</v>
      </c>
      <c r="B20" s="2" t="s">
        <v>7</v>
      </c>
      <c r="C20" s="5">
        <v>100000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</row>
    <row r="21" spans="1:42" ht="18" x14ac:dyDescent="0.4">
      <c r="A21" s="4">
        <v>42736</v>
      </c>
      <c r="B21" s="2" t="s">
        <v>20</v>
      </c>
      <c r="C21" s="5">
        <v>25000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</row>
    <row r="22" spans="1:42" ht="18" x14ac:dyDescent="0.4">
      <c r="A22" s="4">
        <v>43101</v>
      </c>
      <c r="B22" s="2" t="s">
        <v>21</v>
      </c>
      <c r="C22" s="5">
        <v>30000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</row>
    <row r="23" spans="1:42" ht="18" x14ac:dyDescent="0.4">
      <c r="A23" s="4">
        <v>43466</v>
      </c>
      <c r="B23" s="2" t="s">
        <v>22</v>
      </c>
      <c r="C23" s="5">
        <v>50000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</row>
    <row r="24" spans="1:42" ht="18" x14ac:dyDescent="0.4">
      <c r="A24" s="4">
        <v>43831</v>
      </c>
      <c r="B24" s="2" t="s">
        <v>23</v>
      </c>
      <c r="C24" s="5">
        <v>250000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</row>
    <row r="25" spans="1:42" ht="18" x14ac:dyDescent="0.4">
      <c r="A25" s="4">
        <v>44197</v>
      </c>
      <c r="B25" s="2" t="s">
        <v>24</v>
      </c>
      <c r="C25" s="5">
        <v>213000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</row>
    <row r="26" spans="1:42" ht="18" x14ac:dyDescent="0.4">
      <c r="A26" s="4">
        <v>44562</v>
      </c>
      <c r="B26" s="2" t="s">
        <v>25</v>
      </c>
      <c r="C26" s="5">
        <v>220000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ht="18" x14ac:dyDescent="0.4">
      <c r="A27" s="4">
        <v>44927</v>
      </c>
      <c r="B27" s="2" t="s">
        <v>26</v>
      </c>
      <c r="C27" s="5">
        <v>8000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</row>
    <row r="28" spans="1:42" ht="18" x14ac:dyDescent="0.4">
      <c r="A28" s="4">
        <v>45292</v>
      </c>
      <c r="B28" s="2" t="s">
        <v>27</v>
      </c>
      <c r="C28" s="5">
        <v>280000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</row>
    <row r="29" spans="1:42" ht="18" x14ac:dyDescent="0.4">
      <c r="A29" s="4">
        <v>45658</v>
      </c>
      <c r="B29" s="2" t="s">
        <v>28</v>
      </c>
      <c r="C29" s="5">
        <v>300000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</row>
    <row r="30" spans="1:42" ht="18" x14ac:dyDescent="0.4">
      <c r="A30" s="4">
        <v>46023</v>
      </c>
      <c r="B30" s="2" t="s">
        <v>29</v>
      </c>
      <c r="C30" s="5">
        <v>175000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</row>
    <row r="31" spans="1:42" ht="18" x14ac:dyDescent="0.4">
      <c r="A31" s="4">
        <v>46388</v>
      </c>
      <c r="B31" s="2" t="s">
        <v>30</v>
      </c>
      <c r="C31" s="5">
        <v>8000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</row>
    <row r="32" spans="1:42" ht="18" x14ac:dyDescent="0.4">
      <c r="A32" s="4">
        <v>46753</v>
      </c>
      <c r="B32" s="2" t="s">
        <v>31</v>
      </c>
      <c r="C32" s="5">
        <v>20000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</row>
    <row r="33" spans="1:42" ht="18" x14ac:dyDescent="0.4">
      <c r="A33" s="4">
        <v>47119</v>
      </c>
      <c r="B33" s="2" t="s">
        <v>32</v>
      </c>
      <c r="C33" s="5">
        <v>60000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</row>
    <row r="34" spans="1:42" ht="18" x14ac:dyDescent="0.4">
      <c r="A34" s="4">
        <v>10959</v>
      </c>
      <c r="B34" s="2" t="s">
        <v>33</v>
      </c>
      <c r="C34" s="5">
        <v>12000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</row>
    <row r="35" spans="1:42" ht="18.5" thickBot="1" x14ac:dyDescent="0.45">
      <c r="A35" s="6"/>
      <c r="B35" s="7"/>
      <c r="C35" s="8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</row>
    <row r="36" spans="1:42" ht="18" customHeight="1" thickBot="1" x14ac:dyDescent="0.45">
      <c r="A36" s="141" t="s">
        <v>34</v>
      </c>
      <c r="B36" s="142"/>
      <c r="C36" s="143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</row>
    <row r="37" spans="1:42" ht="18" x14ac:dyDescent="0.4">
      <c r="A37" s="146" t="s">
        <v>35</v>
      </c>
      <c r="B37" s="147"/>
      <c r="C37" s="9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</row>
    <row r="38" spans="1:42" ht="18" x14ac:dyDescent="0.4">
      <c r="A38" s="133" t="s">
        <v>36</v>
      </c>
      <c r="B38" s="134"/>
      <c r="C38" s="3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</row>
    <row r="39" spans="1:42" ht="18" x14ac:dyDescent="0.4">
      <c r="A39" s="133" t="s">
        <v>37</v>
      </c>
      <c r="B39" s="134"/>
      <c r="C39" s="3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</row>
    <row r="40" spans="1:42" ht="18.5" customHeight="1" x14ac:dyDescent="0.4">
      <c r="A40" s="133" t="s">
        <v>38</v>
      </c>
      <c r="B40" s="134"/>
      <c r="C40" s="3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</row>
    <row r="41" spans="1:42" ht="18" x14ac:dyDescent="0.4">
      <c r="A41" s="133" t="s">
        <v>39</v>
      </c>
      <c r="B41" s="134"/>
      <c r="C41" s="3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</row>
    <row r="42" spans="1:42" ht="18.5" customHeight="1" x14ac:dyDescent="0.4">
      <c r="A42" s="133" t="s">
        <v>40</v>
      </c>
      <c r="B42" s="134"/>
      <c r="C42" s="3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</row>
    <row r="43" spans="1:42" ht="18.5" thickBot="1" x14ac:dyDescent="0.45">
      <c r="A43" s="6"/>
      <c r="B43" s="7"/>
      <c r="C43" s="8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</row>
    <row r="44" spans="1:42" ht="18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</row>
    <row r="45" spans="1:42" ht="18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</row>
    <row r="46" spans="1:42" ht="18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</row>
    <row r="47" spans="1:42" ht="18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</row>
    <row r="48" spans="1:42" ht="18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</row>
    <row r="49" spans="1:42" ht="18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</row>
    <row r="50" spans="1:42" ht="18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</row>
    <row r="51" spans="1:42" ht="18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</row>
    <row r="52" spans="1:42" ht="18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</row>
    <row r="53" spans="1:42" ht="18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</row>
    <row r="54" spans="1:42" ht="18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</row>
    <row r="55" spans="1:42" ht="18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</row>
    <row r="56" spans="1:42" ht="18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</row>
    <row r="57" spans="1:42" ht="18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</row>
    <row r="58" spans="1:42" ht="18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</row>
    <row r="59" spans="1:42" ht="18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</row>
    <row r="60" spans="1:42" ht="18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</row>
    <row r="61" spans="1:42" ht="18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</row>
    <row r="62" spans="1:42" ht="18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</row>
    <row r="63" spans="1:42" ht="18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</row>
    <row r="64" spans="1:42" ht="18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</row>
    <row r="65" spans="1:42" ht="18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</row>
    <row r="66" spans="1:42" ht="18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</row>
    <row r="67" spans="1:42" ht="18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</row>
    <row r="68" spans="1:42" ht="18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</row>
    <row r="69" spans="1:42" ht="18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</row>
    <row r="70" spans="1:42" ht="18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</row>
    <row r="71" spans="1:42" ht="18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</row>
    <row r="72" spans="1:42" ht="18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</row>
    <row r="73" spans="1:42" ht="18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</row>
    <row r="74" spans="1:42" ht="18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</row>
    <row r="75" spans="1:42" ht="18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</row>
    <row r="76" spans="1:42" ht="18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</row>
    <row r="77" spans="1:42" ht="18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</row>
    <row r="78" spans="1:42" ht="18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</row>
    <row r="79" spans="1:42" ht="18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</row>
    <row r="80" spans="1:42" ht="18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</row>
    <row r="81" spans="1:42" ht="18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</row>
    <row r="82" spans="1:42" ht="18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</row>
    <row r="83" spans="1:42" ht="18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</row>
    <row r="84" spans="1:42" ht="18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</row>
    <row r="85" spans="1:42" ht="18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</row>
    <row r="86" spans="1:42" ht="18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</row>
    <row r="87" spans="1:42" ht="18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</row>
    <row r="88" spans="1:42" ht="18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</row>
    <row r="89" spans="1:42" ht="18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</row>
    <row r="90" spans="1:42" ht="18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</row>
    <row r="91" spans="1:42" ht="18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</row>
    <row r="92" spans="1:42" ht="18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</row>
    <row r="93" spans="1:42" ht="18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</row>
    <row r="94" spans="1:42" ht="18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</row>
    <row r="95" spans="1:42" ht="18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</row>
    <row r="96" spans="1:42" ht="18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</row>
    <row r="97" spans="1:42" ht="18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</row>
    <row r="98" spans="1:42" ht="18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</row>
    <row r="99" spans="1:42" ht="18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</row>
    <row r="100" spans="1:42" ht="18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</row>
    <row r="101" spans="1:42" ht="18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</row>
    <row r="102" spans="1:42" ht="18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</row>
    <row r="103" spans="1:42" ht="18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</row>
    <row r="104" spans="1:42" ht="18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</row>
    <row r="105" spans="1:42" ht="18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</row>
    <row r="106" spans="1:42" ht="18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</row>
    <row r="107" spans="1:42" ht="18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</row>
    <row r="108" spans="1:42" ht="18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</row>
    <row r="109" spans="1:42" ht="18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</row>
    <row r="110" spans="1:42" ht="18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</row>
    <row r="111" spans="1:42" ht="18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</row>
    <row r="112" spans="1:42" ht="18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</row>
    <row r="113" spans="1:42" ht="18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</row>
    <row r="114" spans="1:42" ht="18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</row>
    <row r="115" spans="1:42" ht="18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</row>
    <row r="116" spans="1:42" ht="18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</row>
    <row r="117" spans="1:42" ht="18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</row>
    <row r="118" spans="1:42" ht="18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</row>
    <row r="119" spans="1:42" ht="18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</row>
    <row r="120" spans="1:42" ht="18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</row>
    <row r="121" spans="1:42" ht="18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</row>
    <row r="122" spans="1:42" ht="18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</row>
    <row r="123" spans="1:42" ht="18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</row>
    <row r="124" spans="1:42" ht="18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</row>
    <row r="125" spans="1:42" ht="18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</row>
    <row r="126" spans="1:42" ht="18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</row>
    <row r="127" spans="1:42" ht="18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</row>
    <row r="128" spans="1:42" ht="18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</row>
    <row r="129" spans="1:42" ht="18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</row>
    <row r="130" spans="1:42" ht="18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</row>
    <row r="131" spans="1:42" ht="18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</row>
    <row r="132" spans="1:42" ht="18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</row>
    <row r="133" spans="1:42" ht="18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</row>
    <row r="134" spans="1:42" ht="18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</row>
    <row r="135" spans="1:42" ht="18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</row>
    <row r="136" spans="1:42" ht="18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</row>
    <row r="137" spans="1:42" ht="18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</row>
    <row r="138" spans="1:42" ht="18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</row>
    <row r="139" spans="1:42" ht="18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</row>
    <row r="140" spans="1:42" ht="18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</row>
    <row r="141" spans="1:42" ht="18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</row>
    <row r="142" spans="1:42" ht="18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</row>
    <row r="143" spans="1:42" ht="18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</row>
    <row r="144" spans="1:42" ht="18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</row>
    <row r="145" spans="1:42" ht="18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</row>
    <row r="146" spans="1:42" ht="18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</row>
    <row r="147" spans="1:42" ht="18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</row>
    <row r="148" spans="1:42" ht="18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</row>
    <row r="149" spans="1:42" ht="18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</row>
    <row r="150" spans="1:42" ht="18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</row>
    <row r="151" spans="1:42" ht="18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</row>
    <row r="152" spans="1:42" ht="18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</row>
    <row r="153" spans="1:42" ht="18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</row>
    <row r="154" spans="1:42" ht="18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</row>
    <row r="155" spans="1:42" ht="18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</row>
    <row r="156" spans="1:42" ht="18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</row>
    <row r="157" spans="1:42" ht="18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</row>
    <row r="158" spans="1:42" ht="18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</row>
    <row r="159" spans="1:42" ht="18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</row>
    <row r="160" spans="1:42" ht="18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</row>
    <row r="161" spans="1:42" ht="18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</row>
    <row r="162" spans="1:42" ht="18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</row>
    <row r="163" spans="1:42" ht="18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</row>
    <row r="164" spans="1:42" ht="18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</row>
    <row r="165" spans="1:42" ht="18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</row>
    <row r="166" spans="1:42" ht="18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</row>
    <row r="167" spans="1:42" ht="18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</row>
    <row r="168" spans="1:42" ht="18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</row>
    <row r="169" spans="1:42" ht="18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</row>
    <row r="170" spans="1:42" ht="18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</row>
    <row r="171" spans="1:42" ht="18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</row>
    <row r="172" spans="1:42" ht="18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</row>
    <row r="173" spans="1:42" ht="18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</row>
    <row r="174" spans="1:42" ht="18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</row>
    <row r="175" spans="1:42" ht="18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</row>
    <row r="176" spans="1:42" ht="18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</row>
    <row r="177" spans="1:42" ht="18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</row>
    <row r="178" spans="1:42" ht="18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</row>
    <row r="179" spans="1:42" ht="18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</row>
    <row r="180" spans="1:42" ht="18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</row>
    <row r="181" spans="1:42" ht="18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</row>
    <row r="182" spans="1:42" ht="18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</row>
    <row r="183" spans="1:42" ht="18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</row>
    <row r="184" spans="1:42" ht="18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</row>
    <row r="185" spans="1:42" ht="18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</row>
    <row r="186" spans="1:42" ht="18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</row>
    <row r="187" spans="1:42" ht="18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</row>
    <row r="188" spans="1:42" ht="18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</row>
    <row r="189" spans="1:42" ht="18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</row>
    <row r="190" spans="1:42" ht="18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</row>
    <row r="191" spans="1:42" ht="18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</row>
    <row r="192" spans="1:42" ht="18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</row>
    <row r="193" spans="1:42" ht="18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</row>
    <row r="194" spans="1:42" ht="18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</row>
    <row r="195" spans="1:42" ht="18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</row>
    <row r="196" spans="1:42" ht="18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</row>
    <row r="197" spans="1:42" ht="18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</row>
    <row r="198" spans="1:42" ht="18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</row>
    <row r="199" spans="1:42" ht="18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</row>
    <row r="200" spans="1:42" ht="18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</row>
    <row r="201" spans="1:42" ht="18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</row>
    <row r="202" spans="1:42" ht="18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</row>
    <row r="203" spans="1:42" ht="18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</row>
    <row r="204" spans="1:42" ht="18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</row>
    <row r="205" spans="1:42" ht="18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</row>
    <row r="206" spans="1:42" ht="18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</row>
    <row r="207" spans="1:42" ht="18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</row>
    <row r="208" spans="1:42" ht="18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</row>
    <row r="209" spans="1:42" ht="18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</row>
    <row r="210" spans="1:42" ht="18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</row>
    <row r="211" spans="1:42" ht="18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</row>
    <row r="212" spans="1:42" ht="18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</row>
    <row r="213" spans="1:42" ht="18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</row>
    <row r="214" spans="1:42" ht="18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</row>
    <row r="215" spans="1:42" ht="18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</row>
    <row r="216" spans="1:42" ht="18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</row>
    <row r="217" spans="1:42" ht="18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</row>
    <row r="218" spans="1:42" ht="18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</row>
    <row r="219" spans="1:42" ht="18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</row>
    <row r="220" spans="1:42" ht="18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</row>
    <row r="221" spans="1:42" ht="18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</row>
    <row r="222" spans="1:42" ht="18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</row>
    <row r="223" spans="1:42" ht="18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</row>
    <row r="224" spans="1:42" ht="18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</row>
    <row r="225" spans="1:42" ht="18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</row>
    <row r="226" spans="1:42" ht="18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</row>
    <row r="227" spans="1:42" ht="18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</row>
    <row r="228" spans="1:42" ht="18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</row>
    <row r="229" spans="1:42" ht="18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</row>
    <row r="230" spans="1:42" ht="18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</row>
    <row r="231" spans="1:42" ht="18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</row>
    <row r="232" spans="1:42" ht="18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</row>
    <row r="233" spans="1:42" ht="18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</row>
    <row r="234" spans="1:42" ht="18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</row>
    <row r="235" spans="1:42" ht="18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</row>
    <row r="236" spans="1:42" ht="18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</row>
    <row r="237" spans="1:42" ht="18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</row>
    <row r="238" spans="1:42" ht="18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</row>
    <row r="239" spans="1:42" ht="18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</row>
    <row r="240" spans="1:42" ht="18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</row>
    <row r="241" spans="1:42" ht="18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</row>
    <row r="242" spans="1:42" ht="18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</row>
    <row r="243" spans="1:42" ht="18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</row>
    <row r="244" spans="1:42" ht="18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</row>
    <row r="245" spans="1:42" ht="18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</row>
    <row r="246" spans="1:42" ht="18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</row>
    <row r="247" spans="1:42" ht="18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</row>
    <row r="248" spans="1:42" ht="18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</row>
    <row r="249" spans="1:42" ht="18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</row>
    <row r="250" spans="1:42" ht="18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</row>
    <row r="251" spans="1:42" ht="18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</row>
    <row r="252" spans="1:42" ht="18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</row>
    <row r="253" spans="1:42" ht="18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</row>
    <row r="254" spans="1:42" ht="18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</row>
    <row r="255" spans="1:42" ht="18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</row>
    <row r="256" spans="1:42" ht="18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</row>
    <row r="257" spans="1:42" ht="18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</row>
    <row r="258" spans="1:42" ht="18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</row>
    <row r="259" spans="1:42" ht="18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</row>
    <row r="260" spans="1:42" ht="18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</row>
    <row r="261" spans="1:42" ht="18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</row>
    <row r="262" spans="1:42" ht="18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</row>
    <row r="263" spans="1:42" ht="18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</row>
    <row r="264" spans="1:42" ht="18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</row>
    <row r="265" spans="1:42" ht="18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</row>
    <row r="266" spans="1:42" ht="18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</row>
    <row r="267" spans="1:42" ht="18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</row>
    <row r="268" spans="1:42" ht="18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</row>
    <row r="269" spans="1:42" ht="18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</row>
    <row r="270" spans="1:42" ht="18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</row>
    <row r="271" spans="1:42" ht="18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</row>
    <row r="272" spans="1:42" ht="18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</row>
    <row r="273" spans="1:42" ht="18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</row>
    <row r="274" spans="1:42" ht="18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</row>
    <row r="275" spans="1:42" ht="18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</row>
    <row r="276" spans="1:42" ht="18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</row>
    <row r="277" spans="1:42" ht="18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</row>
    <row r="278" spans="1:42" ht="18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</row>
    <row r="279" spans="1:42" ht="18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</row>
    <row r="280" spans="1:42" ht="18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</row>
    <row r="281" spans="1:42" ht="18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</row>
    <row r="282" spans="1:42" ht="18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</row>
    <row r="283" spans="1:42" ht="18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</row>
    <row r="284" spans="1:42" ht="18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</row>
    <row r="285" spans="1:42" ht="18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</row>
    <row r="286" spans="1:42" ht="18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</row>
    <row r="287" spans="1:42" ht="18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</row>
    <row r="288" spans="1:42" ht="18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</row>
    <row r="289" spans="1:42" ht="18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</row>
    <row r="290" spans="1:42" ht="18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</row>
    <row r="291" spans="1:42" ht="18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</row>
    <row r="292" spans="1:42" ht="18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</row>
    <row r="293" spans="1:42" ht="18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</row>
    <row r="294" spans="1:42" ht="18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</row>
    <row r="295" spans="1:42" ht="18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</row>
    <row r="296" spans="1:42" ht="18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</row>
    <row r="297" spans="1:42" ht="18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</row>
    <row r="298" spans="1:42" ht="18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</row>
    <row r="299" spans="1:42" ht="18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</row>
    <row r="300" spans="1:42" ht="18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</row>
    <row r="301" spans="1:42" ht="18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</row>
    <row r="302" spans="1:42" ht="18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</row>
    <row r="303" spans="1:42" ht="18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</row>
    <row r="304" spans="1:42" ht="18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</row>
    <row r="305" spans="1:42" ht="18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</row>
    <row r="306" spans="1:42" ht="18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</row>
    <row r="307" spans="1:42" ht="18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</row>
    <row r="308" spans="1:42" ht="18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</row>
    <row r="309" spans="1:42" ht="18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</row>
    <row r="310" spans="1:42" ht="18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</row>
    <row r="311" spans="1:42" ht="18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</row>
    <row r="312" spans="1:42" ht="18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</row>
    <row r="313" spans="1:42" ht="18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</row>
    <row r="314" spans="1:42" ht="18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</row>
    <row r="315" spans="1:42" ht="18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</row>
    <row r="316" spans="1:42" ht="18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</row>
    <row r="317" spans="1:42" ht="18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</row>
    <row r="318" spans="1:42" ht="18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</row>
    <row r="319" spans="1:42" ht="18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</row>
    <row r="320" spans="1:42" ht="18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</row>
    <row r="321" spans="1:42" ht="18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</row>
    <row r="322" spans="1:42" ht="18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</row>
    <row r="323" spans="1:42" ht="18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</row>
    <row r="324" spans="1:42" ht="18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</row>
    <row r="325" spans="1:42" ht="18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</row>
    <row r="326" spans="1:42" ht="18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</row>
    <row r="327" spans="1:42" ht="18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</row>
    <row r="328" spans="1:42" ht="18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</row>
    <row r="329" spans="1:42" ht="18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</row>
    <row r="330" spans="1:42" ht="18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</row>
    <row r="331" spans="1:42" ht="18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</row>
    <row r="332" spans="1:42" ht="18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</row>
    <row r="333" spans="1:42" ht="18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</row>
    <row r="334" spans="1:42" ht="18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</row>
    <row r="335" spans="1:42" ht="18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</row>
    <row r="336" spans="1:42" ht="18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</row>
    <row r="337" spans="1:42" ht="18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</row>
    <row r="338" spans="1:42" ht="18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</row>
    <row r="339" spans="1:42" ht="18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</row>
    <row r="340" spans="1:42" ht="18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</row>
    <row r="341" spans="1:42" ht="18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</row>
    <row r="342" spans="1:42" ht="18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</row>
    <row r="343" spans="1:42" ht="18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</row>
    <row r="344" spans="1:42" ht="18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</row>
    <row r="345" spans="1:42" ht="18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</row>
    <row r="346" spans="1:42" ht="18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</row>
    <row r="347" spans="1:42" ht="18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</row>
    <row r="348" spans="1:42" ht="18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</row>
    <row r="349" spans="1:42" ht="18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</row>
    <row r="350" spans="1:42" ht="18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</row>
    <row r="351" spans="1:42" ht="18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</row>
    <row r="352" spans="1:42" ht="18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</row>
    <row r="353" spans="1:42" ht="18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</row>
    <row r="354" spans="1:42" ht="18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</row>
    <row r="355" spans="1:42" ht="18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</row>
    <row r="356" spans="1:42" ht="18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</row>
    <row r="357" spans="1:42" ht="18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</row>
    <row r="358" spans="1:42" ht="18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</row>
    <row r="359" spans="1:42" ht="18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</row>
    <row r="360" spans="1:42" ht="18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</row>
    <row r="361" spans="1:42" ht="18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</row>
    <row r="362" spans="1:42" ht="18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</row>
    <row r="363" spans="1:42" ht="18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</row>
    <row r="364" spans="1:42" ht="18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</row>
    <row r="365" spans="1:42" ht="18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</row>
    <row r="366" spans="1:42" ht="18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</row>
    <row r="367" spans="1:42" ht="18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</row>
    <row r="368" spans="1:42" ht="18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</row>
    <row r="369" spans="1:42" ht="18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</row>
    <row r="370" spans="1:42" ht="18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</row>
    <row r="371" spans="1:42" ht="18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</row>
    <row r="372" spans="1:42" ht="18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</row>
    <row r="373" spans="1:42" ht="18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</row>
    <row r="374" spans="1:42" ht="18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</row>
    <row r="375" spans="1:42" ht="18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</row>
    <row r="376" spans="1:42" ht="18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</row>
    <row r="377" spans="1:42" ht="18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</row>
    <row r="378" spans="1:42" ht="18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</row>
    <row r="379" spans="1:42" ht="18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</row>
    <row r="380" spans="1:42" ht="18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</row>
    <row r="381" spans="1:42" ht="18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</row>
    <row r="382" spans="1:42" ht="18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</row>
    <row r="383" spans="1:42" ht="18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</row>
    <row r="384" spans="1:42" ht="18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</row>
    <row r="385" spans="1:42" ht="18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</row>
    <row r="386" spans="1:42" ht="18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</row>
    <row r="387" spans="1:42" ht="18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</row>
    <row r="388" spans="1:42" ht="18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</row>
    <row r="389" spans="1:42" ht="18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</row>
    <row r="390" spans="1:42" ht="18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</row>
    <row r="391" spans="1:42" ht="18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</row>
    <row r="392" spans="1:42" ht="18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</row>
    <row r="393" spans="1:42" ht="18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</row>
    <row r="394" spans="1:42" ht="18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</row>
    <row r="395" spans="1:42" ht="18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</row>
    <row r="396" spans="1:42" ht="18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</row>
    <row r="397" spans="1:42" ht="18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</row>
    <row r="398" spans="1:42" ht="18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</row>
    <row r="399" spans="1:42" ht="18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</row>
    <row r="400" spans="1:42" ht="18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</row>
    <row r="401" spans="1:42" ht="18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</row>
    <row r="402" spans="1:42" ht="18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</row>
    <row r="403" spans="1:42" ht="18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</row>
    <row r="404" spans="1:42" ht="18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</row>
    <row r="405" spans="1:42" ht="18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</row>
    <row r="406" spans="1:42" ht="18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</row>
    <row r="407" spans="1:42" ht="18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</row>
    <row r="408" spans="1:42" ht="18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</row>
    <row r="409" spans="1:42" ht="18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</row>
    <row r="410" spans="1:42" ht="18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</row>
    <row r="411" spans="1:42" ht="18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</row>
    <row r="412" spans="1:42" ht="18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</row>
    <row r="413" spans="1:42" ht="18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</row>
    <row r="414" spans="1:42" ht="18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</row>
    <row r="415" spans="1:42" ht="18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</row>
    <row r="416" spans="1:42" ht="18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</row>
    <row r="417" spans="1:42" ht="18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</row>
    <row r="418" spans="1:42" ht="18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</row>
    <row r="419" spans="1:42" ht="18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</row>
    <row r="420" spans="1:42" ht="18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</row>
    <row r="421" spans="1:42" ht="18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</row>
    <row r="422" spans="1:42" ht="18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</row>
    <row r="423" spans="1:42" ht="18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</row>
    <row r="424" spans="1:42" ht="18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</row>
    <row r="425" spans="1:42" ht="18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</row>
    <row r="426" spans="1:42" ht="18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</row>
    <row r="427" spans="1:42" ht="18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</row>
    <row r="428" spans="1:42" ht="18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</row>
    <row r="429" spans="1:42" ht="18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</row>
    <row r="430" spans="1:42" ht="18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</row>
    <row r="431" spans="1:42" ht="18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</row>
    <row r="432" spans="1:42" ht="18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</row>
    <row r="433" spans="1:42" ht="18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</row>
    <row r="434" spans="1:42" ht="18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</row>
    <row r="435" spans="1:42" ht="18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</row>
    <row r="436" spans="1:42" ht="18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</row>
    <row r="437" spans="1:42" ht="18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</row>
    <row r="438" spans="1:42" ht="18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</row>
    <row r="439" spans="1:42" ht="18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</row>
    <row r="440" spans="1:42" ht="18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</row>
    <row r="441" spans="1:42" ht="18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</row>
    <row r="442" spans="1:42" ht="18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</row>
    <row r="443" spans="1:42" ht="18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</row>
    <row r="444" spans="1:42" ht="18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</row>
    <row r="445" spans="1:42" ht="18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</row>
    <row r="446" spans="1:42" ht="18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</row>
    <row r="447" spans="1:42" ht="18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</row>
    <row r="448" spans="1:42" ht="18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</row>
    <row r="449" spans="1:42" ht="18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</row>
    <row r="450" spans="1:42" ht="18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</row>
    <row r="451" spans="1:42" ht="18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</row>
    <row r="452" spans="1:42" ht="18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</row>
    <row r="453" spans="1:42" ht="18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</row>
    <row r="454" spans="1:42" ht="18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</row>
    <row r="455" spans="1:42" ht="18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</row>
    <row r="456" spans="1:42" ht="18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</row>
    <row r="457" spans="1:42" ht="18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</row>
    <row r="458" spans="1:42" ht="18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</row>
    <row r="459" spans="1:42" ht="18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</row>
    <row r="460" spans="1:42" ht="18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</row>
    <row r="461" spans="1:42" ht="18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</row>
    <row r="462" spans="1:42" ht="18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</row>
    <row r="463" spans="1:42" ht="18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</row>
    <row r="464" spans="1:42" ht="18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</row>
    <row r="465" spans="1:42" ht="18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</row>
    <row r="466" spans="1:42" ht="18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</row>
    <row r="467" spans="1:42" ht="18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</row>
    <row r="468" spans="1:42" ht="18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</row>
    <row r="469" spans="1:42" ht="18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</row>
    <row r="470" spans="1:42" ht="18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</row>
    <row r="471" spans="1:42" ht="18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</row>
    <row r="472" spans="1:42" ht="18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</row>
    <row r="473" spans="1:42" ht="18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</row>
    <row r="474" spans="1:42" ht="18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</row>
    <row r="475" spans="1:42" ht="18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</row>
    <row r="476" spans="1:42" ht="18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</row>
    <row r="477" spans="1:42" ht="18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</row>
    <row r="478" spans="1:42" ht="18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</row>
    <row r="479" spans="1:42" ht="18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</row>
    <row r="480" spans="1:42" ht="18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</row>
    <row r="481" spans="1:42" ht="18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</row>
    <row r="482" spans="1:42" ht="18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</row>
  </sheetData>
  <mergeCells count="10">
    <mergeCell ref="A39:B39"/>
    <mergeCell ref="A40:B40"/>
    <mergeCell ref="A41:B41"/>
    <mergeCell ref="A42:B42"/>
    <mergeCell ref="A1:C1"/>
    <mergeCell ref="A2:C2"/>
    <mergeCell ref="A36:C36"/>
    <mergeCell ref="A3:B3"/>
    <mergeCell ref="A37:B37"/>
    <mergeCell ref="A38:B3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21D09-9DE2-4FFD-9C17-E5D9B2F4C316}">
  <dimension ref="A1:S520"/>
  <sheetViews>
    <sheetView topLeftCell="A61" workbookViewId="0">
      <selection activeCell="B63" sqref="B63"/>
    </sheetView>
  </sheetViews>
  <sheetFormatPr defaultRowHeight="14.5" x14ac:dyDescent="0.35"/>
  <cols>
    <col min="1" max="1" width="13.453125" customWidth="1"/>
    <col min="2" max="2" width="72.36328125" customWidth="1"/>
    <col min="3" max="3" width="6.08984375" customWidth="1"/>
    <col min="5" max="5" width="12.26953125" customWidth="1"/>
    <col min="6" max="6" width="12.7265625" customWidth="1"/>
  </cols>
  <sheetData>
    <row r="1" spans="1:19" ht="18" x14ac:dyDescent="0.4">
      <c r="A1" s="148" t="s">
        <v>130</v>
      </c>
      <c r="B1" s="148"/>
      <c r="C1" s="148"/>
      <c r="D1" s="148"/>
      <c r="E1" s="148"/>
      <c r="F1" s="148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8.5" thickBot="1" x14ac:dyDescent="0.4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ht="18.5" thickBot="1" x14ac:dyDescent="0.45">
      <c r="A3" s="17" t="s">
        <v>2</v>
      </c>
      <c r="B3" s="18" t="s">
        <v>3</v>
      </c>
      <c r="C3" s="18"/>
      <c r="D3" s="18" t="s">
        <v>41</v>
      </c>
      <c r="E3" s="18" t="s">
        <v>42</v>
      </c>
      <c r="F3" s="19" t="s">
        <v>43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ht="18" x14ac:dyDescent="0.4">
      <c r="A4" s="20" t="s">
        <v>49</v>
      </c>
      <c r="B4" s="21" t="s">
        <v>44</v>
      </c>
      <c r="C4" s="21" t="s">
        <v>45</v>
      </c>
      <c r="D4" s="21"/>
      <c r="E4" s="22">
        <v>3250000</v>
      </c>
      <c r="F4" s="23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ht="18" x14ac:dyDescent="0.4">
      <c r="A5" s="24"/>
      <c r="B5" s="25" t="s">
        <v>46</v>
      </c>
      <c r="C5" s="25" t="s">
        <v>45</v>
      </c>
      <c r="D5" s="25"/>
      <c r="E5" s="26">
        <v>3250000</v>
      </c>
      <c r="F5" s="27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ht="18" x14ac:dyDescent="0.4">
      <c r="A6" s="24"/>
      <c r="B6" s="25" t="s">
        <v>47</v>
      </c>
      <c r="C6" s="25"/>
      <c r="D6" s="25"/>
      <c r="E6" s="25"/>
      <c r="F6" s="28">
        <f>SUM(E4:E5)</f>
        <v>6500000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ht="18" x14ac:dyDescent="0.4">
      <c r="A7" s="24"/>
      <c r="B7" s="25" t="s">
        <v>48</v>
      </c>
      <c r="C7" s="25"/>
      <c r="D7" s="25"/>
      <c r="E7" s="25"/>
      <c r="F7" s="27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ht="18" x14ac:dyDescent="0.4">
      <c r="A8" s="24" t="s">
        <v>50</v>
      </c>
      <c r="B8" s="25" t="s">
        <v>51</v>
      </c>
      <c r="C8" s="25" t="s">
        <v>45</v>
      </c>
      <c r="D8" s="25"/>
      <c r="E8" s="26">
        <v>250000</v>
      </c>
      <c r="F8" s="27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ht="18" x14ac:dyDescent="0.4">
      <c r="A9" s="24"/>
      <c r="B9" s="25" t="s">
        <v>52</v>
      </c>
      <c r="C9" s="25"/>
      <c r="D9" s="25"/>
      <c r="E9" s="25"/>
      <c r="F9" s="28">
        <v>250000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ht="18" x14ac:dyDescent="0.4">
      <c r="A10" s="24"/>
      <c r="B10" s="25" t="s">
        <v>53</v>
      </c>
      <c r="C10" s="25"/>
      <c r="D10" s="25"/>
      <c r="E10" s="25"/>
      <c r="F10" s="27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ht="18" x14ac:dyDescent="0.4">
      <c r="A11" s="24" t="s">
        <v>54</v>
      </c>
      <c r="B11" s="25" t="s">
        <v>51</v>
      </c>
      <c r="C11" s="25" t="s">
        <v>45</v>
      </c>
      <c r="D11" s="25"/>
      <c r="E11" s="26">
        <v>25000</v>
      </c>
      <c r="F11" s="27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ht="18" x14ac:dyDescent="0.4">
      <c r="A12" s="24"/>
      <c r="B12" s="25" t="s">
        <v>55</v>
      </c>
      <c r="C12" s="25"/>
      <c r="D12" s="25"/>
      <c r="E12" s="25"/>
      <c r="F12" s="28">
        <v>25000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ht="18" x14ac:dyDescent="0.4">
      <c r="A13" s="24"/>
      <c r="B13" s="25" t="s">
        <v>56</v>
      </c>
      <c r="C13" s="25"/>
      <c r="D13" s="25"/>
      <c r="E13" s="25"/>
      <c r="F13" s="27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ht="18" x14ac:dyDescent="0.4">
      <c r="A14" s="24" t="s">
        <v>57</v>
      </c>
      <c r="B14" s="25" t="s">
        <v>175</v>
      </c>
      <c r="C14" s="25" t="s">
        <v>45</v>
      </c>
      <c r="D14" s="25"/>
      <c r="E14" s="26">
        <v>55000</v>
      </c>
      <c r="F14" s="27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 ht="18" x14ac:dyDescent="0.4">
      <c r="A15" s="24"/>
      <c r="B15" s="25" t="s">
        <v>55</v>
      </c>
      <c r="C15" s="25"/>
      <c r="D15" s="25"/>
      <c r="E15" s="25"/>
      <c r="F15" s="28">
        <v>55000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ht="18" x14ac:dyDescent="0.4">
      <c r="A16" s="24"/>
      <c r="B16" s="25" t="s">
        <v>58</v>
      </c>
      <c r="C16" s="25"/>
      <c r="D16" s="25"/>
      <c r="E16" s="25"/>
      <c r="F16" s="27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 ht="18" x14ac:dyDescent="0.4">
      <c r="A17" s="24" t="s">
        <v>59</v>
      </c>
      <c r="B17" s="25" t="s">
        <v>44</v>
      </c>
      <c r="C17" s="25" t="s">
        <v>45</v>
      </c>
      <c r="D17" s="25"/>
      <c r="E17" s="26">
        <v>120000</v>
      </c>
      <c r="F17" s="27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ht="18" x14ac:dyDescent="0.4">
      <c r="A18" s="24"/>
      <c r="B18" s="25" t="s">
        <v>176</v>
      </c>
      <c r="C18" s="25"/>
      <c r="D18" s="25"/>
      <c r="E18" s="25"/>
      <c r="F18" s="28">
        <v>120000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ht="18" x14ac:dyDescent="0.4">
      <c r="A19" s="24"/>
      <c r="B19" s="25" t="s">
        <v>60</v>
      </c>
      <c r="C19" s="25"/>
      <c r="D19" s="25"/>
      <c r="E19" s="25"/>
      <c r="F19" s="27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ht="18" x14ac:dyDescent="0.4">
      <c r="A20" s="24" t="s">
        <v>61</v>
      </c>
      <c r="B20" s="25" t="s">
        <v>181</v>
      </c>
      <c r="C20" s="25" t="s">
        <v>45</v>
      </c>
      <c r="D20" s="25"/>
      <c r="E20" s="26">
        <v>42000</v>
      </c>
      <c r="F20" s="27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ht="18" x14ac:dyDescent="0.4">
      <c r="A21" s="24"/>
      <c r="B21" s="25" t="s">
        <v>62</v>
      </c>
      <c r="C21" s="25"/>
      <c r="D21" s="25"/>
      <c r="E21" s="25"/>
      <c r="F21" s="28">
        <v>42000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ht="18" x14ac:dyDescent="0.4">
      <c r="A22" s="24"/>
      <c r="B22" s="25" t="s">
        <v>63</v>
      </c>
      <c r="C22" s="25"/>
      <c r="D22" s="25"/>
      <c r="E22" s="25"/>
      <c r="F22" s="27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ht="18" x14ac:dyDescent="0.4">
      <c r="A23" s="24" t="s">
        <v>64</v>
      </c>
      <c r="B23" s="25" t="s">
        <v>65</v>
      </c>
      <c r="C23" s="25" t="s">
        <v>45</v>
      </c>
      <c r="D23" s="25"/>
      <c r="E23" s="26">
        <v>20000</v>
      </c>
      <c r="F23" s="27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ht="18" x14ac:dyDescent="0.4">
      <c r="A24" s="24"/>
      <c r="B24" s="25" t="s">
        <v>55</v>
      </c>
      <c r="C24" s="25"/>
      <c r="D24" s="25"/>
      <c r="E24" s="25"/>
      <c r="F24" s="28">
        <v>20000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ht="18" x14ac:dyDescent="0.4">
      <c r="A25" s="24"/>
      <c r="B25" s="25" t="s">
        <v>66</v>
      </c>
      <c r="C25" s="25"/>
      <c r="D25" s="25"/>
      <c r="E25" s="25"/>
      <c r="F25" s="27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ht="18" x14ac:dyDescent="0.4">
      <c r="A26" s="24" t="s">
        <v>67</v>
      </c>
      <c r="B26" s="25" t="s">
        <v>69</v>
      </c>
      <c r="C26" s="25" t="s">
        <v>45</v>
      </c>
      <c r="D26" s="25"/>
      <c r="E26" s="26">
        <v>10000</v>
      </c>
      <c r="F26" s="27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ht="18" x14ac:dyDescent="0.4">
      <c r="A27" s="24"/>
      <c r="B27" s="25" t="s">
        <v>55</v>
      </c>
      <c r="C27" s="25"/>
      <c r="D27" s="25"/>
      <c r="E27" s="25"/>
      <c r="F27" s="28">
        <v>10000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ht="18" x14ac:dyDescent="0.4">
      <c r="A28" s="24"/>
      <c r="B28" s="25" t="s">
        <v>68</v>
      </c>
      <c r="C28" s="25"/>
      <c r="D28" s="25"/>
      <c r="E28" s="25"/>
      <c r="F28" s="27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ht="18" x14ac:dyDescent="0.4">
      <c r="A29" s="24" t="s">
        <v>70</v>
      </c>
      <c r="B29" s="25" t="s">
        <v>105</v>
      </c>
      <c r="C29" s="25" t="s">
        <v>45</v>
      </c>
      <c r="D29" s="25"/>
      <c r="E29" s="26">
        <v>30000</v>
      </c>
      <c r="F29" s="27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19" ht="18" x14ac:dyDescent="0.4">
      <c r="A30" s="24"/>
      <c r="B30" s="25" t="s">
        <v>71</v>
      </c>
      <c r="C30" s="25"/>
      <c r="D30" s="25"/>
      <c r="E30" s="25"/>
      <c r="F30" s="28">
        <v>30000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19" ht="18" x14ac:dyDescent="0.4">
      <c r="A31" s="24"/>
      <c r="B31" s="25" t="s">
        <v>72</v>
      </c>
      <c r="C31" s="25"/>
      <c r="D31" s="25"/>
      <c r="E31" s="25"/>
      <c r="F31" s="27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19" ht="18" x14ac:dyDescent="0.4">
      <c r="A32" s="24" t="s">
        <v>73</v>
      </c>
      <c r="B32" s="25" t="s">
        <v>80</v>
      </c>
      <c r="C32" s="25" t="s">
        <v>45</v>
      </c>
      <c r="D32" s="25"/>
      <c r="E32" s="26">
        <v>300000</v>
      </c>
      <c r="F32" s="27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1:19" ht="18" x14ac:dyDescent="0.4">
      <c r="A33" s="24"/>
      <c r="B33" s="25" t="s">
        <v>81</v>
      </c>
      <c r="C33" s="25"/>
      <c r="D33" s="25"/>
      <c r="E33" s="25"/>
      <c r="F33" s="28">
        <v>300000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1:19" ht="18" x14ac:dyDescent="0.4">
      <c r="A34" s="24"/>
      <c r="B34" s="25" t="s">
        <v>75</v>
      </c>
      <c r="C34" s="25"/>
      <c r="D34" s="25"/>
      <c r="E34" s="25"/>
      <c r="F34" s="27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1:19" ht="18" x14ac:dyDescent="0.4">
      <c r="A35" s="24" t="s">
        <v>76</v>
      </c>
      <c r="B35" s="25" t="s">
        <v>77</v>
      </c>
      <c r="C35" s="25" t="s">
        <v>45</v>
      </c>
      <c r="D35" s="25"/>
      <c r="E35" s="26">
        <v>15000</v>
      </c>
      <c r="F35" s="27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1:19" ht="18" x14ac:dyDescent="0.4">
      <c r="A36" s="24"/>
      <c r="B36" s="25" t="s">
        <v>55</v>
      </c>
      <c r="C36" s="25"/>
      <c r="D36" s="25"/>
      <c r="E36" s="25"/>
      <c r="F36" s="28">
        <v>15000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19" ht="18" x14ac:dyDescent="0.4">
      <c r="A37" s="24"/>
      <c r="B37" s="25" t="s">
        <v>78</v>
      </c>
      <c r="C37" s="25"/>
      <c r="D37" s="25"/>
      <c r="E37" s="25"/>
      <c r="F37" s="27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1:19" ht="18" x14ac:dyDescent="0.4">
      <c r="A38" s="24" t="s">
        <v>79</v>
      </c>
      <c r="B38" s="25" t="s">
        <v>74</v>
      </c>
      <c r="C38" s="25" t="s">
        <v>45</v>
      </c>
      <c r="D38" s="25"/>
      <c r="E38" s="26">
        <v>50000</v>
      </c>
      <c r="F38" s="27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19" ht="18" x14ac:dyDescent="0.4">
      <c r="A39" s="24"/>
      <c r="B39" s="25" t="s">
        <v>176</v>
      </c>
      <c r="C39" s="25"/>
      <c r="D39" s="25"/>
      <c r="E39" s="25"/>
      <c r="F39" s="28">
        <v>50000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1:19" ht="18" x14ac:dyDescent="0.4">
      <c r="A40" s="24"/>
      <c r="B40" s="25" t="s">
        <v>82</v>
      </c>
      <c r="C40" s="25"/>
      <c r="D40" s="25"/>
      <c r="E40" s="25"/>
      <c r="F40" s="27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1:19" ht="18" x14ac:dyDescent="0.4">
      <c r="A41" s="24" t="s">
        <v>83</v>
      </c>
      <c r="B41" s="25" t="s">
        <v>84</v>
      </c>
      <c r="C41" s="25" t="s">
        <v>45</v>
      </c>
      <c r="D41" s="25"/>
      <c r="E41" s="26">
        <v>5000</v>
      </c>
      <c r="F41" s="27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1:19" ht="18" x14ac:dyDescent="0.4">
      <c r="A42" s="24"/>
      <c r="B42" s="25" t="s">
        <v>55</v>
      </c>
      <c r="C42" s="25"/>
      <c r="D42" s="25"/>
      <c r="E42" s="25"/>
      <c r="F42" s="28">
        <v>5000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1:19" ht="18" x14ac:dyDescent="0.4">
      <c r="A43" s="24"/>
      <c r="B43" s="25" t="s">
        <v>85</v>
      </c>
      <c r="C43" s="25"/>
      <c r="D43" s="25"/>
      <c r="E43" s="25"/>
      <c r="F43" s="27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1:19" ht="18" x14ac:dyDescent="0.4">
      <c r="A44" s="24" t="s">
        <v>86</v>
      </c>
      <c r="B44" s="25" t="s">
        <v>46</v>
      </c>
      <c r="C44" s="25" t="s">
        <v>45</v>
      </c>
      <c r="D44" s="25"/>
      <c r="E44" s="26">
        <v>200000</v>
      </c>
      <c r="F44" s="27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1:19" ht="18" x14ac:dyDescent="0.4">
      <c r="A45" s="24"/>
      <c r="B45" s="25" t="s">
        <v>55</v>
      </c>
      <c r="C45" s="25"/>
      <c r="D45" s="25"/>
      <c r="E45" s="25"/>
      <c r="F45" s="28">
        <v>200000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1:19" ht="18" x14ac:dyDescent="0.4">
      <c r="A46" s="24"/>
      <c r="B46" s="25" t="s">
        <v>87</v>
      </c>
      <c r="C46" s="25"/>
      <c r="D46" s="25"/>
      <c r="E46" s="25"/>
      <c r="F46" s="27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19" ht="18" x14ac:dyDescent="0.4">
      <c r="A47" s="24" t="s">
        <v>88</v>
      </c>
      <c r="B47" s="25" t="s">
        <v>44</v>
      </c>
      <c r="C47" s="25" t="s">
        <v>45</v>
      </c>
      <c r="D47" s="25"/>
      <c r="E47" s="26">
        <v>80000</v>
      </c>
      <c r="F47" s="27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1:19" ht="18" x14ac:dyDescent="0.4">
      <c r="A48" s="24"/>
      <c r="B48" s="25" t="s">
        <v>81</v>
      </c>
      <c r="C48" s="25"/>
      <c r="D48" s="25"/>
      <c r="E48" s="25"/>
      <c r="F48" s="28">
        <v>80000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1:19" ht="18" x14ac:dyDescent="0.4">
      <c r="A49" s="24"/>
      <c r="B49" s="25" t="s">
        <v>89</v>
      </c>
      <c r="C49" s="25"/>
      <c r="D49" s="25"/>
      <c r="E49" s="25"/>
      <c r="F49" s="27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1:19" ht="18" x14ac:dyDescent="0.4">
      <c r="A50" s="24" t="s">
        <v>90</v>
      </c>
      <c r="B50" s="25" t="s">
        <v>51</v>
      </c>
      <c r="C50" s="25" t="s">
        <v>45</v>
      </c>
      <c r="D50" s="25"/>
      <c r="E50" s="26">
        <v>100000</v>
      </c>
      <c r="F50" s="27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1:19" ht="18" x14ac:dyDescent="0.4">
      <c r="A51" s="24"/>
      <c r="B51" s="25" t="s">
        <v>55</v>
      </c>
      <c r="C51" s="25"/>
      <c r="D51" s="25"/>
      <c r="E51" s="25"/>
      <c r="F51" s="28">
        <v>100000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1:19" ht="18" x14ac:dyDescent="0.4">
      <c r="A52" s="24"/>
      <c r="B52" s="25" t="s">
        <v>56</v>
      </c>
      <c r="C52" s="25"/>
      <c r="D52" s="25"/>
      <c r="E52" s="25"/>
      <c r="F52" s="27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spans="1:19" ht="18" x14ac:dyDescent="0.4">
      <c r="A53" s="24" t="s">
        <v>91</v>
      </c>
      <c r="B53" s="25" t="s">
        <v>92</v>
      </c>
      <c r="C53" s="25" t="s">
        <v>45</v>
      </c>
      <c r="D53" s="25"/>
      <c r="E53" s="26">
        <v>25000</v>
      </c>
      <c r="F53" s="27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spans="1:19" ht="18" x14ac:dyDescent="0.4">
      <c r="A54" s="24"/>
      <c r="B54" s="25" t="s">
        <v>62</v>
      </c>
      <c r="C54" s="25"/>
      <c r="D54" s="25"/>
      <c r="E54" s="25"/>
      <c r="F54" s="28">
        <v>25000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1:19" ht="18" x14ac:dyDescent="0.4">
      <c r="A55" s="24"/>
      <c r="B55" s="25" t="s">
        <v>93</v>
      </c>
      <c r="C55" s="25"/>
      <c r="D55" s="25"/>
      <c r="E55" s="25"/>
      <c r="F55" s="27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spans="1:19" ht="18" x14ac:dyDescent="0.4">
      <c r="A56" s="24" t="s">
        <v>94</v>
      </c>
      <c r="B56" s="25" t="s">
        <v>162</v>
      </c>
      <c r="C56" s="25" t="s">
        <v>45</v>
      </c>
      <c r="D56" s="25"/>
      <c r="E56" s="26">
        <v>30000</v>
      </c>
      <c r="F56" s="27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spans="1:19" ht="18" x14ac:dyDescent="0.4">
      <c r="A57" s="24"/>
      <c r="B57" s="25" t="s">
        <v>62</v>
      </c>
      <c r="C57" s="25"/>
      <c r="D57" s="25"/>
      <c r="E57" s="25"/>
      <c r="F57" s="28">
        <v>30000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spans="1:19" ht="18" x14ac:dyDescent="0.4">
      <c r="A58" s="24"/>
      <c r="B58" s="25" t="s">
        <v>95</v>
      </c>
      <c r="C58" s="25"/>
      <c r="D58" s="25"/>
      <c r="E58" s="25"/>
      <c r="F58" s="27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 spans="1:19" ht="18" x14ac:dyDescent="0.4">
      <c r="A59" s="24" t="s">
        <v>96</v>
      </c>
      <c r="B59" s="25" t="s">
        <v>44</v>
      </c>
      <c r="C59" s="25" t="s">
        <v>45</v>
      </c>
      <c r="D59" s="25"/>
      <c r="E59" s="26">
        <v>50000</v>
      </c>
      <c r="F59" s="27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 spans="1:19" ht="18" x14ac:dyDescent="0.4">
      <c r="A60" s="24"/>
      <c r="B60" s="25" t="s">
        <v>97</v>
      </c>
      <c r="C60" s="25"/>
      <c r="D60" s="25"/>
      <c r="E60" s="25"/>
      <c r="F60" s="28">
        <v>50000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 spans="1:19" ht="18" x14ac:dyDescent="0.4">
      <c r="A61" s="24"/>
      <c r="B61" s="25" t="s">
        <v>98</v>
      </c>
      <c r="C61" s="25"/>
      <c r="D61" s="25"/>
      <c r="E61" s="25"/>
      <c r="F61" s="27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</row>
    <row r="62" spans="1:19" ht="18" x14ac:dyDescent="0.4">
      <c r="A62" s="24" t="s">
        <v>99</v>
      </c>
      <c r="B62" s="25" t="s">
        <v>44</v>
      </c>
      <c r="C62" s="25" t="s">
        <v>45</v>
      </c>
      <c r="D62" s="25"/>
      <c r="E62" s="26">
        <v>250000</v>
      </c>
      <c r="F62" s="27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</row>
    <row r="63" spans="1:19" ht="18" x14ac:dyDescent="0.4">
      <c r="A63" s="24"/>
      <c r="B63" s="25" t="s">
        <v>176</v>
      </c>
      <c r="C63" s="25"/>
      <c r="D63" s="25"/>
      <c r="E63" s="25"/>
      <c r="F63" s="28">
        <v>250000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</row>
    <row r="64" spans="1:19" ht="18" x14ac:dyDescent="0.4">
      <c r="A64" s="24"/>
      <c r="B64" s="25" t="s">
        <v>100</v>
      </c>
      <c r="C64" s="25"/>
      <c r="D64" s="25"/>
      <c r="E64" s="25"/>
      <c r="F64" s="27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</row>
    <row r="65" spans="1:19" ht="18" x14ac:dyDescent="0.4">
      <c r="A65" s="24" t="s">
        <v>101</v>
      </c>
      <c r="B65" s="25" t="s">
        <v>102</v>
      </c>
      <c r="C65" s="25" t="s">
        <v>45</v>
      </c>
      <c r="D65" s="25"/>
      <c r="E65" s="26">
        <v>213000</v>
      </c>
      <c r="F65" s="27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</row>
    <row r="66" spans="1:19" ht="18" x14ac:dyDescent="0.4">
      <c r="A66" s="24"/>
      <c r="B66" s="25" t="s">
        <v>62</v>
      </c>
      <c r="C66" s="25"/>
      <c r="D66" s="25"/>
      <c r="E66" s="25"/>
      <c r="F66" s="28">
        <v>213000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</row>
    <row r="67" spans="1:19" ht="18" x14ac:dyDescent="0.4">
      <c r="A67" s="24"/>
      <c r="B67" s="25" t="s">
        <v>103</v>
      </c>
      <c r="C67" s="25"/>
      <c r="D67" s="25"/>
      <c r="E67" s="25"/>
      <c r="F67" s="27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</row>
    <row r="68" spans="1:19" ht="18" x14ac:dyDescent="0.4">
      <c r="A68" s="24" t="s">
        <v>104</v>
      </c>
      <c r="B68" s="25" t="s">
        <v>105</v>
      </c>
      <c r="C68" s="25" t="s">
        <v>45</v>
      </c>
      <c r="D68" s="25"/>
      <c r="E68" s="26">
        <v>220000</v>
      </c>
      <c r="F68" s="27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</row>
    <row r="69" spans="1:19" ht="18" x14ac:dyDescent="0.4">
      <c r="A69" s="24"/>
      <c r="B69" s="25" t="s">
        <v>62</v>
      </c>
      <c r="C69" s="25"/>
      <c r="D69" s="25"/>
      <c r="E69" s="25"/>
      <c r="F69" s="28">
        <v>220000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</row>
    <row r="70" spans="1:19" ht="18" x14ac:dyDescent="0.4">
      <c r="A70" s="24"/>
      <c r="B70" s="25" t="s">
        <v>106</v>
      </c>
      <c r="C70" s="25"/>
      <c r="D70" s="25"/>
      <c r="E70" s="25"/>
      <c r="F70" s="27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</row>
    <row r="71" spans="1:19" ht="18" x14ac:dyDescent="0.4">
      <c r="A71" s="24" t="s">
        <v>107</v>
      </c>
      <c r="B71" s="25" t="s">
        <v>196</v>
      </c>
      <c r="C71" s="25" t="s">
        <v>45</v>
      </c>
      <c r="D71" s="25"/>
      <c r="E71" s="26">
        <v>8000</v>
      </c>
      <c r="F71" s="27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</row>
    <row r="72" spans="1:19" ht="18" x14ac:dyDescent="0.4">
      <c r="A72" s="24"/>
      <c r="B72" s="25" t="s">
        <v>55</v>
      </c>
      <c r="C72" s="25"/>
      <c r="D72" s="25"/>
      <c r="E72" s="25"/>
      <c r="F72" s="28">
        <v>8000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</row>
    <row r="73" spans="1:19" ht="18" x14ac:dyDescent="0.4">
      <c r="A73" s="24"/>
      <c r="B73" s="25" t="s">
        <v>108</v>
      </c>
      <c r="C73" s="25"/>
      <c r="D73" s="25"/>
      <c r="E73" s="25"/>
      <c r="F73" s="27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</row>
    <row r="74" spans="1:19" ht="18" x14ac:dyDescent="0.4">
      <c r="A74" s="24" t="s">
        <v>109</v>
      </c>
      <c r="B74" s="25" t="s">
        <v>110</v>
      </c>
      <c r="C74" s="25" t="s">
        <v>45</v>
      </c>
      <c r="D74" s="25"/>
      <c r="E74" s="26">
        <v>280000</v>
      </c>
      <c r="F74" s="27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</row>
    <row r="75" spans="1:19" ht="18" x14ac:dyDescent="0.4">
      <c r="A75" s="24"/>
      <c r="B75" s="25" t="s">
        <v>81</v>
      </c>
      <c r="C75" s="25"/>
      <c r="D75" s="25"/>
      <c r="E75" s="25"/>
      <c r="F75" s="28">
        <v>280000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</row>
    <row r="76" spans="1:19" ht="18" x14ac:dyDescent="0.4">
      <c r="A76" s="24"/>
      <c r="B76" s="25" t="s">
        <v>111</v>
      </c>
      <c r="C76" s="25"/>
      <c r="D76" s="25"/>
      <c r="E76" s="25"/>
      <c r="F76" s="27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</row>
    <row r="77" spans="1:19" ht="18" x14ac:dyDescent="0.4">
      <c r="A77" s="24" t="s">
        <v>112</v>
      </c>
      <c r="B77" s="25" t="s">
        <v>51</v>
      </c>
      <c r="C77" s="25" t="s">
        <v>45</v>
      </c>
      <c r="D77" s="25"/>
      <c r="E77" s="26">
        <v>300000</v>
      </c>
      <c r="F77" s="27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 spans="1:19" ht="18" x14ac:dyDescent="0.4">
      <c r="A78" s="24"/>
      <c r="B78" s="25" t="s">
        <v>113</v>
      </c>
      <c r="C78" s="25"/>
      <c r="D78" s="25"/>
      <c r="E78" s="25"/>
      <c r="F78" s="28">
        <v>300000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 spans="1:19" ht="18" x14ac:dyDescent="0.4">
      <c r="A79" s="24"/>
      <c r="B79" s="25" t="s">
        <v>114</v>
      </c>
      <c r="C79" s="25"/>
      <c r="D79" s="25"/>
      <c r="E79" s="25"/>
      <c r="F79" s="27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</row>
    <row r="80" spans="1:19" ht="18" x14ac:dyDescent="0.4">
      <c r="A80" s="24" t="s">
        <v>115</v>
      </c>
      <c r="B80" s="25" t="s">
        <v>46</v>
      </c>
      <c r="C80" s="25" t="s">
        <v>45</v>
      </c>
      <c r="D80" s="25"/>
      <c r="E80" s="26">
        <v>175000</v>
      </c>
      <c r="F80" s="27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</row>
    <row r="81" spans="1:19" ht="18" x14ac:dyDescent="0.4">
      <c r="A81" s="24"/>
      <c r="B81" s="25" t="s">
        <v>116</v>
      </c>
      <c r="C81" s="25"/>
      <c r="D81" s="25"/>
      <c r="E81" s="25"/>
      <c r="F81" s="28">
        <v>175000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</row>
    <row r="82" spans="1:19" ht="18" x14ac:dyDescent="0.4">
      <c r="A82" s="24"/>
      <c r="B82" s="25" t="s">
        <v>117</v>
      </c>
      <c r="C82" s="25"/>
      <c r="D82" s="25"/>
      <c r="E82" s="25"/>
      <c r="F82" s="27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</row>
    <row r="83" spans="1:19" ht="18" x14ac:dyDescent="0.4">
      <c r="A83" s="24" t="s">
        <v>118</v>
      </c>
      <c r="B83" s="25" t="s">
        <v>119</v>
      </c>
      <c r="C83" s="25" t="s">
        <v>45</v>
      </c>
      <c r="D83" s="25"/>
      <c r="E83" s="26">
        <v>8000</v>
      </c>
      <c r="F83" s="27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</row>
    <row r="84" spans="1:19" ht="18" x14ac:dyDescent="0.4">
      <c r="A84" s="24"/>
      <c r="B84" s="25" t="s">
        <v>62</v>
      </c>
      <c r="C84" s="25"/>
      <c r="D84" s="25"/>
      <c r="E84" s="25"/>
      <c r="F84" s="28">
        <v>8000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</row>
    <row r="85" spans="1:19" ht="18" x14ac:dyDescent="0.4">
      <c r="A85" s="24"/>
      <c r="B85" s="25" t="s">
        <v>120</v>
      </c>
      <c r="C85" s="25"/>
      <c r="D85" s="25"/>
      <c r="E85" s="25"/>
      <c r="F85" s="27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</row>
    <row r="86" spans="1:19" ht="18" x14ac:dyDescent="0.4">
      <c r="A86" s="24" t="s">
        <v>121</v>
      </c>
      <c r="B86" s="25" t="s">
        <v>46</v>
      </c>
      <c r="C86" s="25" t="s">
        <v>45</v>
      </c>
      <c r="D86" s="25"/>
      <c r="E86" s="26">
        <v>20000</v>
      </c>
      <c r="F86" s="27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</row>
    <row r="87" spans="1:19" ht="18" x14ac:dyDescent="0.4">
      <c r="A87" s="24"/>
      <c r="B87" s="25" t="s">
        <v>122</v>
      </c>
      <c r="C87" s="25"/>
      <c r="D87" s="25"/>
      <c r="E87" s="25"/>
      <c r="F87" s="28">
        <v>20000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</row>
    <row r="88" spans="1:19" ht="18" x14ac:dyDescent="0.4">
      <c r="A88" s="24"/>
      <c r="B88" s="25" t="s">
        <v>123</v>
      </c>
      <c r="C88" s="25"/>
      <c r="D88" s="25"/>
      <c r="E88" s="25"/>
      <c r="F88" s="27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</row>
    <row r="89" spans="1:19" ht="18" x14ac:dyDescent="0.4">
      <c r="A89" s="24" t="s">
        <v>124</v>
      </c>
      <c r="B89" s="25" t="s">
        <v>125</v>
      </c>
      <c r="C89" s="25" t="s">
        <v>45</v>
      </c>
      <c r="D89" s="25"/>
      <c r="E89" s="26">
        <v>60000</v>
      </c>
      <c r="F89" s="27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</row>
    <row r="90" spans="1:19" ht="18" x14ac:dyDescent="0.4">
      <c r="A90" s="24"/>
      <c r="B90" s="25" t="s">
        <v>62</v>
      </c>
      <c r="C90" s="25"/>
      <c r="D90" s="25"/>
      <c r="E90" s="25"/>
      <c r="F90" s="28">
        <v>60000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</row>
    <row r="91" spans="1:19" ht="18" x14ac:dyDescent="0.4">
      <c r="A91" s="24"/>
      <c r="B91" s="25" t="s">
        <v>126</v>
      </c>
      <c r="C91" s="25"/>
      <c r="D91" s="25"/>
      <c r="E91" s="25"/>
      <c r="F91" s="27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</row>
    <row r="92" spans="1:19" ht="18" x14ac:dyDescent="0.4">
      <c r="A92" s="24" t="s">
        <v>127</v>
      </c>
      <c r="B92" s="25" t="s">
        <v>128</v>
      </c>
      <c r="C92" s="25" t="s">
        <v>45</v>
      </c>
      <c r="D92" s="25"/>
      <c r="E92" s="26">
        <v>12000</v>
      </c>
      <c r="F92" s="27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</row>
    <row r="93" spans="1:19" ht="18" x14ac:dyDescent="0.4">
      <c r="A93" s="24"/>
      <c r="B93" s="25" t="s">
        <v>62</v>
      </c>
      <c r="C93" s="25"/>
      <c r="D93" s="25"/>
      <c r="E93" s="25"/>
      <c r="F93" s="28">
        <v>12000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</row>
    <row r="94" spans="1:19" ht="18.5" thickBot="1" x14ac:dyDescent="0.45">
      <c r="A94" s="29"/>
      <c r="B94" s="30" t="s">
        <v>129</v>
      </c>
      <c r="C94" s="30"/>
      <c r="D94" s="30"/>
      <c r="E94" s="30"/>
      <c r="F94" s="3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</row>
    <row r="95" spans="1:19" ht="18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</row>
    <row r="96" spans="1:19" ht="18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</row>
    <row r="97" spans="1:19" ht="18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</row>
    <row r="98" spans="1:19" ht="18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</row>
    <row r="99" spans="1:19" ht="18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</row>
    <row r="100" spans="1:19" ht="18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</row>
    <row r="101" spans="1:19" ht="18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</row>
    <row r="102" spans="1:19" ht="18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</row>
    <row r="103" spans="1:19" ht="18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</row>
    <row r="104" spans="1:19" ht="18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</row>
    <row r="105" spans="1:19" ht="18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</row>
    <row r="106" spans="1:19" ht="18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</row>
    <row r="107" spans="1:19" ht="18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</row>
    <row r="108" spans="1:19" ht="18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</row>
    <row r="109" spans="1:19" ht="18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</row>
    <row r="110" spans="1:19" ht="18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</row>
    <row r="111" spans="1:19" ht="18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</row>
    <row r="112" spans="1:19" ht="18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</row>
    <row r="113" spans="1:19" ht="18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</row>
    <row r="114" spans="1:19" ht="18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</row>
    <row r="115" spans="1:19" ht="18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</row>
    <row r="116" spans="1:19" ht="18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</row>
    <row r="117" spans="1:19" ht="18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</row>
    <row r="118" spans="1:19" ht="18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</row>
    <row r="119" spans="1:19" ht="18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</row>
    <row r="120" spans="1:19" ht="18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</row>
    <row r="121" spans="1:19" ht="18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</row>
    <row r="122" spans="1:19" ht="18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</row>
    <row r="123" spans="1:19" ht="18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</row>
    <row r="124" spans="1:19" ht="18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</row>
    <row r="125" spans="1:19" ht="18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</row>
    <row r="126" spans="1:19" ht="18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</row>
    <row r="127" spans="1:19" ht="18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</row>
    <row r="128" spans="1:19" ht="18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</row>
    <row r="129" spans="1:19" ht="18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</row>
    <row r="130" spans="1:19" ht="18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</row>
    <row r="131" spans="1:19" ht="18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</row>
    <row r="132" spans="1:19" ht="18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</row>
    <row r="133" spans="1:19" ht="18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</row>
    <row r="134" spans="1:19" ht="18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</row>
    <row r="135" spans="1:19" ht="18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</row>
    <row r="136" spans="1:19" ht="18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</row>
    <row r="137" spans="1:19" ht="18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</row>
    <row r="138" spans="1:19" ht="18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</row>
    <row r="139" spans="1:19" ht="18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</row>
    <row r="140" spans="1:19" ht="18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</row>
    <row r="141" spans="1:19" ht="18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</row>
    <row r="142" spans="1:19" ht="18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</row>
    <row r="143" spans="1:19" ht="18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</row>
    <row r="144" spans="1:19" ht="18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</row>
    <row r="145" spans="1:19" ht="18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</row>
    <row r="146" spans="1:19" ht="18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</row>
    <row r="147" spans="1:19" ht="18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</row>
    <row r="148" spans="1:19" ht="18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</row>
    <row r="149" spans="1:19" ht="18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</row>
    <row r="150" spans="1:19" ht="18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</row>
    <row r="151" spans="1:19" ht="18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</row>
    <row r="152" spans="1:19" ht="18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</row>
    <row r="153" spans="1:19" ht="18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</row>
    <row r="154" spans="1:19" ht="18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</row>
    <row r="155" spans="1:19" ht="18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</row>
    <row r="156" spans="1:19" ht="18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</row>
    <row r="157" spans="1:19" ht="18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</row>
    <row r="158" spans="1:19" ht="18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</row>
    <row r="159" spans="1:19" ht="18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</row>
    <row r="160" spans="1:19" ht="18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</row>
    <row r="161" spans="1:19" ht="18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</row>
    <row r="162" spans="1:19" ht="18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</row>
    <row r="163" spans="1:19" ht="18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</row>
    <row r="164" spans="1:19" ht="18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</row>
    <row r="165" spans="1:19" ht="18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</row>
    <row r="166" spans="1:19" ht="18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</row>
    <row r="167" spans="1:19" ht="18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</row>
    <row r="168" spans="1:19" ht="18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</row>
    <row r="169" spans="1:19" ht="18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</row>
    <row r="170" spans="1:19" ht="18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</row>
    <row r="171" spans="1:19" ht="18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</row>
    <row r="172" spans="1:19" ht="18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</row>
    <row r="173" spans="1:19" ht="18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</row>
    <row r="174" spans="1:19" ht="18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</row>
    <row r="175" spans="1:19" ht="18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</row>
    <row r="176" spans="1:19" ht="18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</row>
    <row r="177" spans="1:19" ht="18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</row>
    <row r="178" spans="1:19" ht="18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</row>
    <row r="179" spans="1:19" ht="18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</row>
    <row r="180" spans="1:19" ht="18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</row>
    <row r="181" spans="1:19" ht="18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</row>
    <row r="182" spans="1:19" ht="18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</row>
    <row r="183" spans="1:19" ht="18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</row>
    <row r="184" spans="1:19" ht="18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</row>
    <row r="185" spans="1:19" ht="18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</row>
    <row r="186" spans="1:19" ht="18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</row>
    <row r="187" spans="1:19" ht="18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</row>
    <row r="188" spans="1:19" ht="18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</row>
    <row r="189" spans="1:19" ht="18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</row>
    <row r="190" spans="1:19" ht="18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</row>
    <row r="191" spans="1:19" ht="18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</row>
    <row r="192" spans="1:19" ht="18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</row>
    <row r="193" spans="1:19" ht="18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</row>
    <row r="194" spans="1:19" ht="18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</row>
    <row r="195" spans="1:19" ht="18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</row>
    <row r="196" spans="1:19" ht="18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</row>
    <row r="197" spans="1:19" ht="18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</row>
    <row r="198" spans="1:19" ht="18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</row>
    <row r="199" spans="1:19" ht="18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</row>
    <row r="200" spans="1:19" ht="18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</row>
    <row r="201" spans="1:19" ht="18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</row>
    <row r="202" spans="1:19" ht="18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</row>
    <row r="203" spans="1:19" ht="18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</row>
    <row r="204" spans="1:19" ht="18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</row>
    <row r="205" spans="1:19" ht="18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</row>
    <row r="206" spans="1:19" ht="18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</row>
    <row r="207" spans="1:19" ht="18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</row>
    <row r="208" spans="1:19" ht="18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</row>
    <row r="209" spans="1:19" ht="18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</row>
    <row r="210" spans="1:19" ht="18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</row>
    <row r="211" spans="1:19" ht="18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</row>
    <row r="212" spans="1:19" ht="18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</row>
    <row r="213" spans="1:19" ht="18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</row>
    <row r="214" spans="1:19" ht="18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</row>
    <row r="215" spans="1:19" ht="18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</row>
    <row r="216" spans="1:19" ht="18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</row>
    <row r="217" spans="1:19" ht="18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</row>
    <row r="218" spans="1:19" ht="18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</row>
    <row r="219" spans="1:19" ht="18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</row>
    <row r="220" spans="1:19" ht="18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</row>
    <row r="221" spans="1:19" ht="18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</row>
    <row r="222" spans="1:19" ht="18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</row>
    <row r="223" spans="1:19" ht="18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</row>
    <row r="224" spans="1:19" ht="18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</row>
    <row r="225" spans="1:19" ht="18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</row>
    <row r="226" spans="1:19" ht="18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</row>
    <row r="227" spans="1:19" ht="18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</row>
    <row r="228" spans="1:19" ht="18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</row>
    <row r="229" spans="1:19" ht="18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</row>
    <row r="230" spans="1:19" ht="18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</row>
    <row r="231" spans="1:19" ht="18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</row>
    <row r="232" spans="1:19" ht="18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</row>
    <row r="233" spans="1:19" ht="18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</row>
    <row r="234" spans="1:19" ht="18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</row>
    <row r="235" spans="1:19" ht="18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</row>
    <row r="236" spans="1:19" ht="18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</row>
    <row r="237" spans="1:19" ht="18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</row>
    <row r="238" spans="1:19" ht="18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</row>
    <row r="239" spans="1:19" ht="18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</row>
    <row r="240" spans="1:19" ht="18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</row>
    <row r="241" spans="1:19" ht="18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</row>
    <row r="242" spans="1:19" ht="18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</row>
    <row r="243" spans="1:19" ht="18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</row>
    <row r="244" spans="1:19" ht="18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</row>
    <row r="245" spans="1:19" ht="18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</row>
    <row r="246" spans="1:19" ht="18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</row>
    <row r="247" spans="1:19" ht="18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</row>
    <row r="248" spans="1:19" ht="18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</row>
    <row r="249" spans="1:19" ht="18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</row>
    <row r="250" spans="1:19" ht="18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</row>
    <row r="251" spans="1:19" ht="18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</row>
    <row r="252" spans="1:19" ht="18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</row>
    <row r="253" spans="1:19" ht="18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</row>
    <row r="254" spans="1:19" ht="18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</row>
    <row r="255" spans="1:19" ht="18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</row>
    <row r="256" spans="1:19" ht="18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</row>
    <row r="257" spans="1:19" ht="18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</row>
    <row r="258" spans="1:19" ht="18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</row>
    <row r="259" spans="1:19" ht="18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</row>
    <row r="260" spans="1:19" ht="18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</row>
    <row r="261" spans="1:19" ht="18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</row>
    <row r="262" spans="1:19" ht="18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</row>
    <row r="263" spans="1:19" ht="18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</row>
    <row r="264" spans="1:19" ht="18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</row>
    <row r="265" spans="1:19" ht="18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</row>
    <row r="266" spans="1:19" ht="18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</row>
    <row r="267" spans="1:19" ht="18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</row>
    <row r="268" spans="1:19" ht="18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</row>
    <row r="269" spans="1:19" ht="18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</row>
    <row r="270" spans="1:19" ht="18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</row>
    <row r="271" spans="1:19" ht="18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</row>
    <row r="272" spans="1:19" ht="18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</row>
    <row r="273" spans="1:19" ht="18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</row>
    <row r="274" spans="1:19" ht="18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</row>
    <row r="275" spans="1:19" ht="18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</row>
    <row r="276" spans="1:19" ht="18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</row>
    <row r="277" spans="1:19" ht="18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</row>
    <row r="278" spans="1:19" ht="18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</row>
    <row r="279" spans="1:19" ht="18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</row>
    <row r="280" spans="1:19" ht="18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</row>
    <row r="281" spans="1:19" ht="18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</row>
    <row r="282" spans="1:19" ht="18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</row>
    <row r="283" spans="1:19" ht="18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</row>
    <row r="284" spans="1:19" ht="18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</row>
    <row r="285" spans="1:19" ht="18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</row>
    <row r="286" spans="1:19" ht="18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</row>
    <row r="287" spans="1:19" ht="18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</row>
    <row r="288" spans="1:19" ht="18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</row>
    <row r="289" spans="1:19" ht="18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</row>
    <row r="290" spans="1:19" ht="18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</row>
    <row r="291" spans="1:19" ht="18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</row>
    <row r="292" spans="1:19" ht="18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</row>
    <row r="293" spans="1:19" ht="18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</row>
    <row r="294" spans="1:19" ht="18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</row>
    <row r="295" spans="1:19" ht="18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</row>
    <row r="296" spans="1:19" ht="18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</row>
    <row r="297" spans="1:19" ht="18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</row>
    <row r="298" spans="1:19" ht="18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</row>
    <row r="299" spans="1:19" ht="18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</row>
    <row r="300" spans="1:19" ht="18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</row>
    <row r="301" spans="1:19" ht="18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</row>
    <row r="302" spans="1:19" ht="18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</row>
    <row r="303" spans="1:19" ht="18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</row>
    <row r="304" spans="1:19" ht="18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</row>
    <row r="305" spans="1:19" ht="18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</row>
    <row r="306" spans="1:19" ht="18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</row>
    <row r="307" spans="1:19" ht="18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</row>
    <row r="308" spans="1:19" ht="18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</row>
    <row r="309" spans="1:19" ht="18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</row>
    <row r="310" spans="1:19" ht="18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</row>
    <row r="311" spans="1:19" ht="18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</row>
    <row r="312" spans="1:19" ht="18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</row>
    <row r="313" spans="1:19" ht="18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</row>
    <row r="314" spans="1:19" ht="18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</row>
    <row r="315" spans="1:19" ht="18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</row>
    <row r="316" spans="1:19" ht="18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</row>
    <row r="317" spans="1:19" ht="18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</row>
    <row r="318" spans="1:19" ht="18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</row>
    <row r="319" spans="1:19" ht="18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</row>
    <row r="320" spans="1:19" ht="18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</row>
    <row r="321" spans="1:19" ht="18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</row>
    <row r="322" spans="1:19" ht="18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</row>
    <row r="323" spans="1:19" ht="18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</row>
    <row r="324" spans="1:19" ht="18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</row>
    <row r="325" spans="1:19" ht="18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</row>
    <row r="326" spans="1:19" ht="18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</row>
    <row r="327" spans="1:19" ht="18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</row>
    <row r="328" spans="1:19" ht="18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</row>
    <row r="329" spans="1:19" ht="18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</row>
    <row r="330" spans="1:19" ht="18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</row>
    <row r="331" spans="1:19" ht="18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</row>
    <row r="332" spans="1:19" ht="18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</row>
    <row r="333" spans="1:19" ht="18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</row>
    <row r="334" spans="1:19" ht="18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</row>
    <row r="335" spans="1:19" ht="18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</row>
    <row r="336" spans="1:19" ht="18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</row>
    <row r="337" spans="1:19" ht="18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</row>
    <row r="338" spans="1:19" ht="18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</row>
    <row r="339" spans="1:19" ht="18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</row>
    <row r="340" spans="1:19" ht="18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</row>
    <row r="341" spans="1:19" ht="18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</row>
    <row r="342" spans="1:19" ht="18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</row>
    <row r="343" spans="1:19" ht="18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</row>
    <row r="344" spans="1:19" ht="18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</row>
    <row r="345" spans="1:19" ht="18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</row>
    <row r="346" spans="1:19" ht="18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</row>
    <row r="347" spans="1:19" ht="18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</row>
    <row r="348" spans="1:19" ht="18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</row>
    <row r="349" spans="1:19" ht="18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</row>
    <row r="350" spans="1:19" ht="18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</row>
    <row r="351" spans="1:19" ht="18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</row>
    <row r="352" spans="1:19" ht="18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</row>
    <row r="353" spans="1:19" ht="18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</row>
    <row r="354" spans="1:19" ht="18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</row>
    <row r="355" spans="1:19" ht="18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</row>
    <row r="356" spans="1:19" ht="18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</row>
    <row r="357" spans="1:19" ht="18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</row>
    <row r="358" spans="1:19" ht="18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</row>
    <row r="359" spans="1:19" ht="18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</row>
    <row r="360" spans="1:19" ht="18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</row>
    <row r="361" spans="1:19" ht="18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</row>
    <row r="362" spans="1:19" ht="18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</row>
    <row r="363" spans="1:19" ht="18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</row>
    <row r="364" spans="1:19" ht="18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</row>
    <row r="365" spans="1:19" ht="18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</row>
    <row r="366" spans="1:19" ht="18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</row>
    <row r="367" spans="1:19" ht="18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</row>
    <row r="368" spans="1:19" ht="18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</row>
    <row r="369" spans="1:19" ht="18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</row>
    <row r="370" spans="1:19" ht="18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</row>
    <row r="371" spans="1:19" ht="18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</row>
    <row r="372" spans="1:19" ht="18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</row>
    <row r="373" spans="1:19" ht="18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</row>
    <row r="374" spans="1:19" ht="18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</row>
    <row r="375" spans="1:19" ht="18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</row>
    <row r="376" spans="1:19" ht="18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</row>
    <row r="377" spans="1:19" ht="18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</row>
    <row r="378" spans="1:19" ht="18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</row>
    <row r="379" spans="1:19" ht="18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</row>
    <row r="380" spans="1:19" ht="18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</row>
    <row r="381" spans="1:19" ht="18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</row>
    <row r="382" spans="1:19" ht="18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</row>
    <row r="383" spans="1:19" ht="18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</row>
    <row r="384" spans="1:19" ht="18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</row>
    <row r="385" spans="1:19" ht="18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</row>
    <row r="386" spans="1:19" ht="18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</row>
    <row r="387" spans="1:19" ht="18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</row>
    <row r="388" spans="1:19" ht="18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</row>
    <row r="389" spans="1:19" ht="18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</row>
    <row r="390" spans="1:19" ht="18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</row>
    <row r="391" spans="1:19" ht="18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</row>
    <row r="392" spans="1:19" ht="18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</row>
    <row r="393" spans="1:19" ht="18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</row>
    <row r="394" spans="1:19" ht="18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</row>
    <row r="395" spans="1:19" ht="18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</row>
    <row r="396" spans="1:19" ht="18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</row>
    <row r="397" spans="1:19" ht="18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</row>
    <row r="398" spans="1:19" ht="18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</row>
    <row r="399" spans="1:19" ht="18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</row>
    <row r="400" spans="1:19" ht="18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</row>
    <row r="401" spans="1:19" ht="18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</row>
    <row r="402" spans="1:19" ht="18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</row>
    <row r="403" spans="1:19" ht="18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</row>
    <row r="404" spans="1:19" ht="18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</row>
    <row r="405" spans="1:19" ht="18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</row>
    <row r="406" spans="1:19" ht="18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</row>
    <row r="407" spans="1:19" ht="18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</row>
    <row r="408" spans="1:19" ht="18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</row>
    <row r="409" spans="1:19" ht="18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</row>
    <row r="410" spans="1:19" ht="18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</row>
    <row r="411" spans="1:19" ht="18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</row>
    <row r="412" spans="1:19" ht="18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</row>
    <row r="413" spans="1:19" ht="18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</row>
    <row r="414" spans="1:19" ht="18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</row>
    <row r="415" spans="1:19" ht="18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</row>
    <row r="416" spans="1:19" ht="18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</row>
    <row r="417" spans="1:19" ht="18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</row>
    <row r="418" spans="1:19" ht="18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</row>
    <row r="419" spans="1:19" ht="18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</row>
    <row r="420" spans="1:19" ht="18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</row>
    <row r="421" spans="1:19" ht="18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</row>
    <row r="422" spans="1:19" ht="18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</row>
    <row r="423" spans="1:19" ht="18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</row>
    <row r="424" spans="1:19" ht="18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</row>
    <row r="425" spans="1:19" ht="18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</row>
    <row r="426" spans="1:19" ht="18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</row>
    <row r="427" spans="1:19" ht="18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</row>
    <row r="428" spans="1:19" ht="18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</row>
    <row r="429" spans="1:19" ht="18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</row>
    <row r="430" spans="1:19" ht="18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</row>
    <row r="431" spans="1:19" ht="18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</row>
    <row r="432" spans="1:19" ht="18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</row>
    <row r="433" spans="1:19" ht="18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</row>
    <row r="434" spans="1:19" ht="18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</row>
    <row r="435" spans="1:19" ht="18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</row>
    <row r="436" spans="1:19" ht="18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</row>
    <row r="437" spans="1:19" ht="18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</row>
    <row r="438" spans="1:19" ht="18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</row>
    <row r="439" spans="1:19" ht="18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</row>
    <row r="440" spans="1:19" ht="18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</row>
    <row r="441" spans="1:19" ht="18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</row>
    <row r="442" spans="1:19" ht="18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</row>
    <row r="443" spans="1:19" ht="18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</row>
    <row r="444" spans="1:19" ht="18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</row>
    <row r="445" spans="1:19" ht="18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</row>
    <row r="446" spans="1:19" ht="18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</row>
    <row r="447" spans="1:19" ht="18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</row>
    <row r="448" spans="1:19" ht="18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</row>
    <row r="449" spans="1:19" ht="18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</row>
    <row r="450" spans="1:19" ht="18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</row>
    <row r="451" spans="1:19" ht="18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</row>
    <row r="452" spans="1:19" ht="18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</row>
    <row r="453" spans="1:19" ht="18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</row>
    <row r="454" spans="1:19" ht="18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</row>
    <row r="455" spans="1:19" ht="18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</row>
    <row r="456" spans="1:19" ht="18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</row>
    <row r="457" spans="1:19" ht="18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</row>
    <row r="458" spans="1:19" ht="18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</row>
    <row r="459" spans="1:19" ht="18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</row>
    <row r="460" spans="1:19" ht="18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</row>
    <row r="461" spans="1:19" ht="18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</row>
    <row r="462" spans="1:19" ht="18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</row>
    <row r="463" spans="1:19" ht="18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</row>
    <row r="464" spans="1:19" ht="18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</row>
    <row r="465" spans="1:19" ht="18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</row>
    <row r="466" spans="1:19" ht="18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</row>
    <row r="467" spans="1:19" ht="18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</row>
    <row r="468" spans="1:19" ht="18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</row>
    <row r="469" spans="1:19" ht="18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</row>
    <row r="470" spans="1:19" ht="18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</row>
    <row r="471" spans="1:19" ht="18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</row>
    <row r="472" spans="1:19" ht="18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</row>
    <row r="473" spans="1:19" ht="18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</row>
    <row r="474" spans="1:19" ht="18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</row>
    <row r="475" spans="1:19" ht="18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</row>
    <row r="476" spans="1:19" ht="18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</row>
    <row r="477" spans="1:19" ht="18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</row>
    <row r="478" spans="1:19" ht="18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</row>
    <row r="479" spans="1:19" ht="18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</row>
    <row r="480" spans="1:19" ht="18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</row>
    <row r="481" spans="1:19" ht="18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</row>
    <row r="482" spans="1:19" ht="18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</row>
    <row r="483" spans="1:19" ht="18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</row>
    <row r="484" spans="1:19" ht="18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</row>
    <row r="485" spans="1:19" ht="18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</row>
    <row r="486" spans="1:19" ht="18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</row>
    <row r="487" spans="1:19" ht="18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</row>
    <row r="488" spans="1:19" ht="18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</row>
    <row r="489" spans="1:19" ht="18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</row>
    <row r="490" spans="1:19" ht="18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</row>
    <row r="491" spans="1:19" ht="18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</row>
    <row r="492" spans="1:19" ht="18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</row>
    <row r="493" spans="1:19" ht="18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</row>
    <row r="494" spans="1:19" ht="18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</row>
    <row r="495" spans="1:19" ht="18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</row>
    <row r="496" spans="1:19" ht="18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</row>
    <row r="497" spans="1:19" ht="18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</row>
    <row r="498" spans="1:19" ht="18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</row>
    <row r="499" spans="1:19" ht="18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</row>
    <row r="500" spans="1:19" ht="18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</row>
    <row r="501" spans="1:19" ht="18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</row>
    <row r="502" spans="1:19" ht="18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</row>
    <row r="503" spans="1:19" ht="18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</row>
    <row r="504" spans="1:19" ht="18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</row>
    <row r="505" spans="1:19" ht="18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</row>
    <row r="506" spans="1:19" ht="18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</row>
    <row r="507" spans="1:19" ht="18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</row>
    <row r="508" spans="1:19" ht="18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</row>
    <row r="509" spans="1:19" ht="18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</row>
    <row r="510" spans="1:19" ht="18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</row>
    <row r="511" spans="1:19" ht="18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</row>
    <row r="512" spans="1:19" ht="18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</row>
    <row r="513" spans="1:19" ht="18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</row>
    <row r="514" spans="1:19" ht="18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</row>
    <row r="515" spans="1:19" ht="18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</row>
    <row r="516" spans="1:19" ht="18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</row>
    <row r="517" spans="1:19" ht="18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</row>
    <row r="518" spans="1:19" ht="18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</row>
    <row r="519" spans="1:19" ht="18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</row>
    <row r="520" spans="1:19" ht="18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42C8E-943F-4661-BF71-206FCEFC0DBE}">
  <dimension ref="A1:R1701"/>
  <sheetViews>
    <sheetView topLeftCell="A190" workbookViewId="0">
      <selection activeCell="C200" sqref="C200"/>
    </sheetView>
  </sheetViews>
  <sheetFormatPr defaultRowHeight="14.5" x14ac:dyDescent="0.35"/>
  <cols>
    <col min="1" max="1" width="12.7265625" customWidth="1"/>
    <col min="2" max="2" width="39.6328125" customWidth="1"/>
    <col min="4" max="4" width="17" customWidth="1"/>
    <col min="5" max="5" width="12.90625" customWidth="1"/>
    <col min="6" max="6" width="39" customWidth="1"/>
    <col min="8" max="8" width="17" customWidth="1"/>
  </cols>
  <sheetData>
    <row r="1" spans="1:18" ht="18" x14ac:dyDescent="0.4">
      <c r="A1" s="148" t="s">
        <v>131</v>
      </c>
      <c r="B1" s="148"/>
      <c r="C1" s="148"/>
      <c r="D1" s="148"/>
      <c r="E1" s="148"/>
      <c r="F1" s="148"/>
      <c r="G1" s="148"/>
      <c r="H1" s="148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8" x14ac:dyDescent="0.4">
      <c r="A2" s="148" t="s">
        <v>132</v>
      </c>
      <c r="B2" s="148"/>
      <c r="C2" s="148"/>
      <c r="D2" s="148"/>
      <c r="E2" s="148"/>
      <c r="F2" s="148"/>
      <c r="G2" s="148"/>
      <c r="H2" s="148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18.5" thickBot="1" x14ac:dyDescent="0.45">
      <c r="A3" s="150" t="s">
        <v>158</v>
      </c>
      <c r="B3" s="150"/>
      <c r="C3" s="150"/>
      <c r="D3" s="150"/>
      <c r="E3" s="150"/>
      <c r="F3" s="150"/>
      <c r="G3" s="150"/>
      <c r="H3" s="150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18.5" thickBot="1" x14ac:dyDescent="0.45">
      <c r="A4" s="17" t="s">
        <v>2</v>
      </c>
      <c r="B4" s="18" t="s">
        <v>3</v>
      </c>
      <c r="C4" s="18" t="s">
        <v>133</v>
      </c>
      <c r="D4" s="18" t="s">
        <v>134</v>
      </c>
      <c r="E4" s="18" t="s">
        <v>2</v>
      </c>
      <c r="F4" s="18" t="s">
        <v>135</v>
      </c>
      <c r="G4" s="18" t="s">
        <v>133</v>
      </c>
      <c r="H4" s="19" t="s">
        <v>134</v>
      </c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18" x14ac:dyDescent="0.4">
      <c r="A5" s="20" t="s">
        <v>153</v>
      </c>
      <c r="B5" s="21" t="s">
        <v>136</v>
      </c>
      <c r="C5" s="21"/>
      <c r="D5" s="22">
        <f>D8</f>
        <v>6500000</v>
      </c>
      <c r="E5" s="21" t="s">
        <v>49</v>
      </c>
      <c r="F5" s="21" t="s">
        <v>137</v>
      </c>
      <c r="G5" s="21"/>
      <c r="H5" s="32">
        <v>3250000</v>
      </c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18" x14ac:dyDescent="0.4">
      <c r="A6" s="24"/>
      <c r="B6" s="25"/>
      <c r="C6" s="25"/>
      <c r="D6" s="25"/>
      <c r="E6" s="25" t="s">
        <v>49</v>
      </c>
      <c r="F6" s="25" t="s">
        <v>138</v>
      </c>
      <c r="G6" s="25"/>
      <c r="H6" s="28">
        <v>3250000</v>
      </c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ht="18" x14ac:dyDescent="0.4">
      <c r="A7" s="24"/>
      <c r="B7" s="25"/>
      <c r="C7" s="25"/>
      <c r="D7" s="25"/>
      <c r="E7" s="25"/>
      <c r="F7" s="25"/>
      <c r="G7" s="25"/>
      <c r="H7" s="27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18" x14ac:dyDescent="0.4">
      <c r="A8" s="24"/>
      <c r="B8" s="25"/>
      <c r="C8" s="25"/>
      <c r="D8" s="33">
        <f>H8</f>
        <v>6500000</v>
      </c>
      <c r="E8" s="25"/>
      <c r="F8" s="25"/>
      <c r="G8" s="25"/>
      <c r="H8" s="34">
        <f>SUM(H5:H6)</f>
        <v>6500000</v>
      </c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ht="18.5" thickBot="1" x14ac:dyDescent="0.45">
      <c r="A9" s="29"/>
      <c r="B9" s="30"/>
      <c r="C9" s="30"/>
      <c r="D9" s="30"/>
      <c r="E9" s="30" t="s">
        <v>156</v>
      </c>
      <c r="F9" s="30" t="s">
        <v>139</v>
      </c>
      <c r="G9" s="30"/>
      <c r="H9" s="35">
        <f>D5</f>
        <v>6500000</v>
      </c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ht="18" x14ac:dyDescent="0.4">
      <c r="A10" s="148" t="s">
        <v>140</v>
      </c>
      <c r="B10" s="148"/>
      <c r="C10" s="148"/>
      <c r="D10" s="148"/>
      <c r="E10" s="148"/>
      <c r="F10" s="148"/>
      <c r="G10" s="148"/>
      <c r="H10" s="148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ht="18.5" thickBot="1" x14ac:dyDescent="0.45">
      <c r="A11" s="150" t="s">
        <v>158</v>
      </c>
      <c r="B11" s="150"/>
      <c r="C11" s="150"/>
      <c r="D11" s="150"/>
      <c r="E11" s="150"/>
      <c r="F11" s="150"/>
      <c r="G11" s="150"/>
      <c r="H11" s="150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ht="18.5" thickBot="1" x14ac:dyDescent="0.45">
      <c r="A12" s="17" t="s">
        <v>2</v>
      </c>
      <c r="B12" s="18" t="s">
        <v>3</v>
      </c>
      <c r="C12" s="18" t="s">
        <v>133</v>
      </c>
      <c r="D12" s="18" t="s">
        <v>134</v>
      </c>
      <c r="E12" s="18" t="s">
        <v>2</v>
      </c>
      <c r="F12" s="18" t="s">
        <v>135</v>
      </c>
      <c r="G12" s="18" t="s">
        <v>133</v>
      </c>
      <c r="H12" s="19" t="s">
        <v>134</v>
      </c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 ht="18" x14ac:dyDescent="0.4">
      <c r="A13" s="20" t="s">
        <v>49</v>
      </c>
      <c r="B13" s="21" t="s">
        <v>141</v>
      </c>
      <c r="C13" s="21"/>
      <c r="D13" s="22">
        <v>3250000</v>
      </c>
      <c r="E13" s="21" t="s">
        <v>54</v>
      </c>
      <c r="F13" s="21" t="s">
        <v>142</v>
      </c>
      <c r="G13" s="21"/>
      <c r="H13" s="32">
        <v>25000</v>
      </c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 ht="18" x14ac:dyDescent="0.4">
      <c r="A14" s="24" t="s">
        <v>59</v>
      </c>
      <c r="B14" s="25" t="s">
        <v>144</v>
      </c>
      <c r="C14" s="25"/>
      <c r="D14" s="26">
        <v>120000</v>
      </c>
      <c r="E14" s="25" t="s">
        <v>57</v>
      </c>
      <c r="F14" s="25" t="s">
        <v>143</v>
      </c>
      <c r="G14" s="25"/>
      <c r="H14" s="28">
        <v>55000</v>
      </c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ht="18" x14ac:dyDescent="0.4">
      <c r="A15" s="24" t="s">
        <v>88</v>
      </c>
      <c r="B15" s="25" t="s">
        <v>150</v>
      </c>
      <c r="C15" s="25"/>
      <c r="D15" s="26">
        <v>80000</v>
      </c>
      <c r="E15" s="25" t="s">
        <v>64</v>
      </c>
      <c r="F15" s="25" t="s">
        <v>145</v>
      </c>
      <c r="G15" s="25"/>
      <c r="H15" s="28">
        <v>20000</v>
      </c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ht="18" x14ac:dyDescent="0.4">
      <c r="A16" s="24" t="s">
        <v>96</v>
      </c>
      <c r="B16" s="25" t="s">
        <v>151</v>
      </c>
      <c r="C16" s="25"/>
      <c r="D16" s="26">
        <v>50000</v>
      </c>
      <c r="E16" s="25" t="s">
        <v>67</v>
      </c>
      <c r="F16" s="25" t="s">
        <v>146</v>
      </c>
      <c r="G16" s="25"/>
      <c r="H16" s="28">
        <v>10000</v>
      </c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ht="18" x14ac:dyDescent="0.4">
      <c r="A17" s="24" t="s">
        <v>99</v>
      </c>
      <c r="B17" s="25" t="s">
        <v>190</v>
      </c>
      <c r="C17" s="25"/>
      <c r="D17" s="26">
        <v>250000</v>
      </c>
      <c r="E17" s="25" t="s">
        <v>76</v>
      </c>
      <c r="F17" s="25" t="s">
        <v>148</v>
      </c>
      <c r="G17" s="25"/>
      <c r="H17" s="28">
        <v>15000</v>
      </c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ht="18" x14ac:dyDescent="0.4">
      <c r="A18" s="24"/>
      <c r="B18" s="25"/>
      <c r="C18" s="25"/>
      <c r="D18" s="25"/>
      <c r="E18" s="25" t="s">
        <v>83</v>
      </c>
      <c r="F18" s="25" t="s">
        <v>149</v>
      </c>
      <c r="G18" s="25"/>
      <c r="H18" s="28">
        <v>5000</v>
      </c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 ht="18" x14ac:dyDescent="0.4">
      <c r="A19" s="24"/>
      <c r="B19" s="25"/>
      <c r="C19" s="25"/>
      <c r="D19" s="25"/>
      <c r="E19" s="25" t="s">
        <v>86</v>
      </c>
      <c r="F19" s="25" t="s">
        <v>138</v>
      </c>
      <c r="G19" s="25"/>
      <c r="H19" s="28">
        <v>200000</v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 ht="18" x14ac:dyDescent="0.4">
      <c r="A20" s="24"/>
      <c r="B20" s="25"/>
      <c r="C20" s="25"/>
      <c r="D20" s="25"/>
      <c r="E20" s="25" t="s">
        <v>90</v>
      </c>
      <c r="F20" s="25" t="s">
        <v>142</v>
      </c>
      <c r="G20" s="25"/>
      <c r="H20" s="28">
        <v>100000</v>
      </c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 ht="18" x14ac:dyDescent="0.4">
      <c r="A21" s="24"/>
      <c r="B21" s="25"/>
      <c r="C21" s="25"/>
      <c r="D21" s="25"/>
      <c r="E21" s="25" t="s">
        <v>107</v>
      </c>
      <c r="F21" s="25" t="s">
        <v>152</v>
      </c>
      <c r="G21" s="25"/>
      <c r="H21" s="28">
        <v>8000</v>
      </c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8" ht="18" x14ac:dyDescent="0.4">
      <c r="A22" s="24"/>
      <c r="B22" s="25"/>
      <c r="C22" s="25"/>
      <c r="D22" s="33">
        <f>SUM(D13:D17)</f>
        <v>3750000</v>
      </c>
      <c r="E22" s="25" t="s">
        <v>153</v>
      </c>
      <c r="F22" s="25" t="s">
        <v>154</v>
      </c>
      <c r="G22" s="25"/>
      <c r="H22" s="28">
        <f>SUM(D22)-SUM(H13:H21)</f>
        <v>3312000</v>
      </c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 ht="18.5" thickBot="1" x14ac:dyDescent="0.45">
      <c r="A23" s="29" t="s">
        <v>156</v>
      </c>
      <c r="B23" s="30" t="s">
        <v>155</v>
      </c>
      <c r="C23" s="30"/>
      <c r="D23" s="40">
        <f>H22</f>
        <v>3312000</v>
      </c>
      <c r="E23" s="30"/>
      <c r="F23" s="30"/>
      <c r="G23" s="30"/>
      <c r="H23" s="38">
        <f>D22</f>
        <v>3750000</v>
      </c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ht="18" x14ac:dyDescent="0.4">
      <c r="A24" s="148" t="s">
        <v>157</v>
      </c>
      <c r="B24" s="148"/>
      <c r="C24" s="148"/>
      <c r="D24" s="148"/>
      <c r="E24" s="148"/>
      <c r="F24" s="148"/>
      <c r="G24" s="148"/>
      <c r="H24" s="148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8" ht="18.5" thickBot="1" x14ac:dyDescent="0.45">
      <c r="A25" s="149" t="s">
        <v>158</v>
      </c>
      <c r="B25" s="149"/>
      <c r="C25" s="149"/>
      <c r="D25" s="149"/>
      <c r="E25" s="149"/>
      <c r="F25" s="149"/>
      <c r="G25" s="149"/>
      <c r="H25" s="149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18" ht="18.5" thickBot="1" x14ac:dyDescent="0.45">
      <c r="A26" s="17" t="s">
        <v>2</v>
      </c>
      <c r="B26" s="18" t="s">
        <v>3</v>
      </c>
      <c r="C26" s="18" t="s">
        <v>133</v>
      </c>
      <c r="D26" s="18" t="s">
        <v>134</v>
      </c>
      <c r="E26" s="18" t="s">
        <v>2</v>
      </c>
      <c r="F26" s="18" t="s">
        <v>135</v>
      </c>
      <c r="G26" s="18" t="s">
        <v>133</v>
      </c>
      <c r="H26" s="19" t="s">
        <v>134</v>
      </c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1:18" ht="18" x14ac:dyDescent="0.4">
      <c r="A27" s="20" t="s">
        <v>49</v>
      </c>
      <c r="B27" s="21" t="s">
        <v>141</v>
      </c>
      <c r="C27" s="21"/>
      <c r="D27" s="22">
        <v>3250000</v>
      </c>
      <c r="E27" s="21" t="s">
        <v>61</v>
      </c>
      <c r="F27" s="21" t="s">
        <v>159</v>
      </c>
      <c r="G27" s="21"/>
      <c r="H27" s="32">
        <v>42000</v>
      </c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18" ht="18" x14ac:dyDescent="0.4">
      <c r="A28" s="24" t="s">
        <v>86</v>
      </c>
      <c r="B28" s="25" t="s">
        <v>151</v>
      </c>
      <c r="C28" s="25"/>
      <c r="D28" s="26">
        <v>200000</v>
      </c>
      <c r="E28" s="25" t="s">
        <v>91</v>
      </c>
      <c r="F28" s="25" t="s">
        <v>160</v>
      </c>
      <c r="G28" s="25"/>
      <c r="H28" s="28">
        <v>25000</v>
      </c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18" ht="18" x14ac:dyDescent="0.4">
      <c r="A29" s="24" t="s">
        <v>115</v>
      </c>
      <c r="B29" s="25" t="s">
        <v>165</v>
      </c>
      <c r="C29" s="25"/>
      <c r="D29" s="26">
        <v>175000</v>
      </c>
      <c r="E29" s="25" t="s">
        <v>94</v>
      </c>
      <c r="F29" s="25" t="s">
        <v>161</v>
      </c>
      <c r="G29" s="25"/>
      <c r="H29" s="28">
        <v>30000</v>
      </c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18" ht="18" x14ac:dyDescent="0.4">
      <c r="A30" s="24" t="s">
        <v>121</v>
      </c>
      <c r="B30" s="25" t="s">
        <v>167</v>
      </c>
      <c r="C30" s="25"/>
      <c r="D30" s="26">
        <v>20000</v>
      </c>
      <c r="E30" s="25" t="s">
        <v>96</v>
      </c>
      <c r="F30" s="25" t="s">
        <v>137</v>
      </c>
      <c r="G30" s="25"/>
      <c r="H30" s="28">
        <v>50000</v>
      </c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18" ht="18" x14ac:dyDescent="0.4">
      <c r="A31" s="24"/>
      <c r="B31" s="25"/>
      <c r="C31" s="25"/>
      <c r="D31" s="25"/>
      <c r="E31" s="25" t="s">
        <v>101</v>
      </c>
      <c r="F31" s="25" t="s">
        <v>163</v>
      </c>
      <c r="G31" s="25"/>
      <c r="H31" s="28">
        <v>213000</v>
      </c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1:18" ht="18" x14ac:dyDescent="0.4">
      <c r="A32" s="24"/>
      <c r="B32" s="25"/>
      <c r="C32" s="25"/>
      <c r="D32" s="25"/>
      <c r="E32" s="25" t="s">
        <v>104</v>
      </c>
      <c r="F32" s="25" t="s">
        <v>164</v>
      </c>
      <c r="G32" s="25"/>
      <c r="H32" s="28">
        <v>220000</v>
      </c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1:18" ht="18" x14ac:dyDescent="0.4">
      <c r="A33" s="24"/>
      <c r="B33" s="25"/>
      <c r="C33" s="25"/>
      <c r="D33" s="25"/>
      <c r="E33" s="25" t="s">
        <v>118</v>
      </c>
      <c r="F33" s="25" t="s">
        <v>166</v>
      </c>
      <c r="G33" s="25"/>
      <c r="H33" s="28">
        <v>8000</v>
      </c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1:18" ht="18" x14ac:dyDescent="0.4">
      <c r="A34" s="24"/>
      <c r="B34" s="25"/>
      <c r="C34" s="25"/>
      <c r="D34" s="25"/>
      <c r="E34" s="25" t="s">
        <v>124</v>
      </c>
      <c r="F34" s="25" t="s">
        <v>168</v>
      </c>
      <c r="G34" s="25"/>
      <c r="H34" s="28">
        <v>60000</v>
      </c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1:18" ht="18" x14ac:dyDescent="0.4">
      <c r="A35" s="24"/>
      <c r="B35" s="25"/>
      <c r="C35" s="25"/>
      <c r="D35" s="25"/>
      <c r="E35" s="25" t="s">
        <v>127</v>
      </c>
      <c r="F35" s="25" t="s">
        <v>169</v>
      </c>
      <c r="G35" s="25"/>
      <c r="H35" s="28">
        <v>12000</v>
      </c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1:18" ht="18" x14ac:dyDescent="0.4">
      <c r="A36" s="24"/>
      <c r="B36" s="25"/>
      <c r="C36" s="25"/>
      <c r="D36" s="25"/>
      <c r="E36" s="25" t="s">
        <v>153</v>
      </c>
      <c r="F36" s="25" t="s">
        <v>154</v>
      </c>
      <c r="G36" s="25"/>
      <c r="H36" s="28">
        <f>SUM(D37)-SUM(H27:H35)</f>
        <v>2985000</v>
      </c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1:18" ht="18" x14ac:dyDescent="0.4">
      <c r="A37" s="24"/>
      <c r="B37" s="25"/>
      <c r="C37" s="25"/>
      <c r="D37" s="33">
        <f>SUM(D27:D30)</f>
        <v>3645000</v>
      </c>
      <c r="E37" s="25"/>
      <c r="F37" s="25"/>
      <c r="G37" s="25"/>
      <c r="H37" s="34">
        <f>D37</f>
        <v>3645000</v>
      </c>
      <c r="I37" s="1"/>
      <c r="J37" s="1"/>
      <c r="K37" s="1"/>
      <c r="L37" s="1"/>
      <c r="M37" s="1"/>
      <c r="N37" s="1"/>
      <c r="O37" s="1"/>
      <c r="P37" s="1"/>
      <c r="Q37" s="1"/>
      <c r="R37" s="1"/>
    </row>
    <row r="38" spans="1:18" ht="18.5" thickBot="1" x14ac:dyDescent="0.45">
      <c r="A38" s="29" t="s">
        <v>156</v>
      </c>
      <c r="B38" s="30" t="s">
        <v>155</v>
      </c>
      <c r="C38" s="30"/>
      <c r="D38" s="40">
        <f>H36</f>
        <v>2985000</v>
      </c>
      <c r="E38" s="30"/>
      <c r="F38" s="30"/>
      <c r="G38" s="30"/>
      <c r="H38" s="42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1:18" ht="18" x14ac:dyDescent="0.4">
      <c r="A39" s="148" t="s">
        <v>170</v>
      </c>
      <c r="B39" s="148"/>
      <c r="C39" s="148"/>
      <c r="D39" s="148"/>
      <c r="E39" s="148"/>
      <c r="F39" s="148"/>
      <c r="G39" s="148"/>
      <c r="H39" s="148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spans="1:18" ht="18.5" thickBot="1" x14ac:dyDescent="0.45">
      <c r="A40" s="149" t="s">
        <v>158</v>
      </c>
      <c r="B40" s="149"/>
      <c r="C40" s="149"/>
      <c r="D40" s="149"/>
      <c r="E40" s="149"/>
      <c r="F40" s="149"/>
      <c r="G40" s="149"/>
      <c r="H40" s="149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1:18" ht="18.5" thickBot="1" x14ac:dyDescent="0.45">
      <c r="A41" s="17" t="s">
        <v>2</v>
      </c>
      <c r="B41" s="18" t="s">
        <v>3</v>
      </c>
      <c r="C41" s="18" t="s">
        <v>133</v>
      </c>
      <c r="D41" s="18" t="s">
        <v>134</v>
      </c>
      <c r="E41" s="18" t="s">
        <v>2</v>
      </c>
      <c r="F41" s="18" t="s">
        <v>135</v>
      </c>
      <c r="G41" s="18" t="s">
        <v>133</v>
      </c>
      <c r="H41" s="19" t="s">
        <v>134</v>
      </c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1:18" ht="18" x14ac:dyDescent="0.4">
      <c r="A42" s="20" t="s">
        <v>50</v>
      </c>
      <c r="B42" s="21" t="s">
        <v>171</v>
      </c>
      <c r="C42" s="21"/>
      <c r="D42" s="22">
        <v>250000</v>
      </c>
      <c r="E42" s="21" t="s">
        <v>153</v>
      </c>
      <c r="F42" s="21" t="s">
        <v>154</v>
      </c>
      <c r="G42" s="21"/>
      <c r="H42" s="32">
        <f>H47</f>
        <v>675000</v>
      </c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1:18" ht="18" x14ac:dyDescent="0.4">
      <c r="A43" s="24" t="s">
        <v>54</v>
      </c>
      <c r="B43" s="25" t="s">
        <v>172</v>
      </c>
      <c r="C43" s="25"/>
      <c r="D43" s="26">
        <v>25000</v>
      </c>
      <c r="E43" s="25"/>
      <c r="F43" s="25"/>
      <c r="G43" s="25"/>
      <c r="H43" s="27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spans="1:18" ht="18" x14ac:dyDescent="0.4">
      <c r="A44" s="24" t="s">
        <v>90</v>
      </c>
      <c r="B44" s="25" t="s">
        <v>172</v>
      </c>
      <c r="C44" s="25"/>
      <c r="D44" s="26">
        <v>100000</v>
      </c>
      <c r="E44" s="25"/>
      <c r="F44" s="25"/>
      <c r="G44" s="25"/>
      <c r="H44" s="27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spans="1:18" ht="18" x14ac:dyDescent="0.4">
      <c r="A45" s="24" t="s">
        <v>112</v>
      </c>
      <c r="B45" s="25" t="s">
        <v>173</v>
      </c>
      <c r="C45" s="25"/>
      <c r="D45" s="26">
        <v>300000</v>
      </c>
      <c r="E45" s="25"/>
      <c r="F45" s="25"/>
      <c r="G45" s="25"/>
      <c r="H45" s="27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spans="1:18" ht="18" x14ac:dyDescent="0.4">
      <c r="A46" s="24"/>
      <c r="B46" s="25"/>
      <c r="C46" s="25"/>
      <c r="D46" s="25"/>
      <c r="E46" s="25"/>
      <c r="F46" s="25"/>
      <c r="G46" s="25"/>
      <c r="H46" s="27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spans="1:18" ht="18" x14ac:dyDescent="0.4">
      <c r="A47" s="24"/>
      <c r="B47" s="25"/>
      <c r="C47" s="25"/>
      <c r="D47" s="33">
        <f>SUM(D42:D45)</f>
        <v>675000</v>
      </c>
      <c r="E47" s="25"/>
      <c r="F47" s="25"/>
      <c r="G47" s="25"/>
      <c r="H47" s="34">
        <f>D47</f>
        <v>675000</v>
      </c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1:18" ht="18.5" thickBot="1" x14ac:dyDescent="0.45">
      <c r="A48" s="29" t="s">
        <v>156</v>
      </c>
      <c r="B48" s="30" t="s">
        <v>155</v>
      </c>
      <c r="C48" s="30"/>
      <c r="D48" s="40">
        <f>H42</f>
        <v>675000</v>
      </c>
      <c r="E48" s="30"/>
      <c r="F48" s="30"/>
      <c r="G48" s="30"/>
      <c r="H48" s="3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1:18" ht="18" x14ac:dyDescent="0.4">
      <c r="A49" s="148" t="s">
        <v>174</v>
      </c>
      <c r="B49" s="148"/>
      <c r="C49" s="148"/>
      <c r="D49" s="148"/>
      <c r="E49" s="148"/>
      <c r="F49" s="148"/>
      <c r="G49" s="148"/>
      <c r="H49" s="148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1:18" ht="18.5" thickBot="1" x14ac:dyDescent="0.45">
      <c r="A50" s="149" t="s">
        <v>158</v>
      </c>
      <c r="B50" s="149"/>
      <c r="C50" s="149"/>
      <c r="D50" s="149"/>
      <c r="E50" s="149"/>
      <c r="F50" s="149"/>
      <c r="G50" s="149"/>
      <c r="H50" s="149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spans="1:18" ht="18.5" thickBot="1" x14ac:dyDescent="0.45">
      <c r="A51" s="17" t="s">
        <v>2</v>
      </c>
      <c r="B51" s="18" t="s">
        <v>3</v>
      </c>
      <c r="C51" s="18" t="s">
        <v>133</v>
      </c>
      <c r="D51" s="18" t="s">
        <v>134</v>
      </c>
      <c r="E51" s="18" t="s">
        <v>2</v>
      </c>
      <c r="F51" s="18" t="s">
        <v>135</v>
      </c>
      <c r="G51" s="18" t="s">
        <v>133</v>
      </c>
      <c r="H51" s="19" t="s">
        <v>134</v>
      </c>
      <c r="I51" s="1"/>
      <c r="J51" s="1"/>
      <c r="K51" s="1"/>
      <c r="L51" s="1"/>
      <c r="M51" s="1"/>
      <c r="N51" s="1"/>
      <c r="O51" s="1"/>
      <c r="P51" s="1"/>
      <c r="Q51" s="1"/>
      <c r="R51" s="1"/>
    </row>
    <row r="52" spans="1:18" ht="18" x14ac:dyDescent="0.4">
      <c r="A52" s="20" t="s">
        <v>70</v>
      </c>
      <c r="B52" s="21" t="s">
        <v>147</v>
      </c>
      <c r="C52" s="21"/>
      <c r="D52" s="22">
        <v>30000</v>
      </c>
      <c r="E52" s="21" t="s">
        <v>50</v>
      </c>
      <c r="F52" s="21" t="s">
        <v>142</v>
      </c>
      <c r="G52" s="21"/>
      <c r="H52" s="32">
        <v>250000</v>
      </c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1:18" ht="18" x14ac:dyDescent="0.4">
      <c r="A53" s="24" t="s">
        <v>104</v>
      </c>
      <c r="B53" s="25" t="s">
        <v>151</v>
      </c>
      <c r="C53" s="25"/>
      <c r="D53" s="26">
        <v>220000</v>
      </c>
      <c r="E53" s="25"/>
      <c r="F53" s="25"/>
      <c r="G53" s="25"/>
      <c r="H53" s="27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1:18" ht="18" x14ac:dyDescent="0.4">
      <c r="A54" s="24"/>
      <c r="B54" s="25"/>
      <c r="C54" s="25"/>
      <c r="D54" s="25"/>
      <c r="E54" s="25"/>
      <c r="F54" s="25"/>
      <c r="G54" s="25"/>
      <c r="H54" s="27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1:18" ht="18.5" thickBot="1" x14ac:dyDescent="0.45">
      <c r="A55" s="29"/>
      <c r="B55" s="30"/>
      <c r="C55" s="30"/>
      <c r="D55" s="37">
        <f>SUM(D52:D53)</f>
        <v>250000</v>
      </c>
      <c r="E55" s="30"/>
      <c r="F55" s="30"/>
      <c r="G55" s="30"/>
      <c r="H55" s="38">
        <f>D55</f>
        <v>250000</v>
      </c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 ht="18" x14ac:dyDescent="0.4">
      <c r="A56" s="148" t="s">
        <v>177</v>
      </c>
      <c r="B56" s="148"/>
      <c r="C56" s="148"/>
      <c r="D56" s="148"/>
      <c r="E56" s="148"/>
      <c r="F56" s="148"/>
      <c r="G56" s="148"/>
      <c r="H56" s="148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18" ht="18.5" thickBot="1" x14ac:dyDescent="0.45">
      <c r="A57" s="149" t="s">
        <v>158</v>
      </c>
      <c r="B57" s="149"/>
      <c r="C57" s="149"/>
      <c r="D57" s="149"/>
      <c r="E57" s="149"/>
      <c r="F57" s="149"/>
      <c r="G57" s="149"/>
      <c r="H57" s="149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1:18" ht="18.5" thickBot="1" x14ac:dyDescent="0.45">
      <c r="A58" s="17" t="s">
        <v>2</v>
      </c>
      <c r="B58" s="18" t="s">
        <v>3</v>
      </c>
      <c r="C58" s="18" t="s">
        <v>133</v>
      </c>
      <c r="D58" s="18" t="s">
        <v>134</v>
      </c>
      <c r="E58" s="18" t="s">
        <v>2</v>
      </c>
      <c r="F58" s="18" t="s">
        <v>135</v>
      </c>
      <c r="G58" s="18" t="s">
        <v>133</v>
      </c>
      <c r="H58" s="19" t="s">
        <v>134</v>
      </c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1:18" ht="18" x14ac:dyDescent="0.4">
      <c r="A59" s="20" t="s">
        <v>57</v>
      </c>
      <c r="B59" s="21" t="s">
        <v>172</v>
      </c>
      <c r="C59" s="21"/>
      <c r="D59" s="22">
        <v>55000</v>
      </c>
      <c r="E59" s="21" t="s">
        <v>153</v>
      </c>
      <c r="F59" s="21" t="s">
        <v>154</v>
      </c>
      <c r="G59" s="21"/>
      <c r="H59" s="32">
        <f>H61</f>
        <v>55000</v>
      </c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1:18" ht="18" x14ac:dyDescent="0.4">
      <c r="A60" s="24"/>
      <c r="B60" s="25"/>
      <c r="C60" s="25"/>
      <c r="D60" s="25"/>
      <c r="E60" s="25"/>
      <c r="F60" s="25"/>
      <c r="G60" s="25"/>
      <c r="H60" s="27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1:18" ht="18" x14ac:dyDescent="0.4">
      <c r="A61" s="24"/>
      <c r="B61" s="25"/>
      <c r="C61" s="25"/>
      <c r="D61" s="33">
        <f>D59</f>
        <v>55000</v>
      </c>
      <c r="E61" s="25"/>
      <c r="F61" s="25"/>
      <c r="G61" s="25"/>
      <c r="H61" s="34">
        <f>D61</f>
        <v>55000</v>
      </c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18" ht="18.5" thickBot="1" x14ac:dyDescent="0.45">
      <c r="A62" s="29" t="s">
        <v>156</v>
      </c>
      <c r="B62" s="30" t="s">
        <v>155</v>
      </c>
      <c r="C62" s="30"/>
      <c r="D62" s="40">
        <f>H59</f>
        <v>55000</v>
      </c>
      <c r="E62" s="30"/>
      <c r="F62" s="30"/>
      <c r="G62" s="30"/>
      <c r="H62" s="3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1:18" ht="18" x14ac:dyDescent="0.4">
      <c r="A63" s="148" t="s">
        <v>178</v>
      </c>
      <c r="B63" s="148"/>
      <c r="C63" s="148"/>
      <c r="D63" s="148"/>
      <c r="E63" s="148"/>
      <c r="F63" s="148"/>
      <c r="G63" s="148"/>
      <c r="H63" s="148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1:18" ht="18.5" thickBot="1" x14ac:dyDescent="0.45">
      <c r="A64" s="149" t="s">
        <v>158</v>
      </c>
      <c r="B64" s="149"/>
      <c r="C64" s="149"/>
      <c r="D64" s="149"/>
      <c r="E64" s="149"/>
      <c r="F64" s="149"/>
      <c r="G64" s="149"/>
      <c r="H64" s="149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1:18" ht="18.5" thickBot="1" x14ac:dyDescent="0.45">
      <c r="A65" s="17" t="s">
        <v>2</v>
      </c>
      <c r="B65" s="18" t="s">
        <v>3</v>
      </c>
      <c r="C65" s="18" t="s">
        <v>133</v>
      </c>
      <c r="D65" s="18" t="s">
        <v>134</v>
      </c>
      <c r="E65" s="18" t="s">
        <v>2</v>
      </c>
      <c r="F65" s="18" t="s">
        <v>135</v>
      </c>
      <c r="G65" s="18" t="s">
        <v>133</v>
      </c>
      <c r="H65" s="19" t="s">
        <v>134</v>
      </c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ht="18" x14ac:dyDescent="0.4">
      <c r="A66" s="20" t="s">
        <v>73</v>
      </c>
      <c r="B66" s="21" t="s">
        <v>150</v>
      </c>
      <c r="C66" s="21"/>
      <c r="D66" s="22">
        <v>300000</v>
      </c>
      <c r="E66" s="21" t="s">
        <v>59</v>
      </c>
      <c r="F66" s="21" t="s">
        <v>137</v>
      </c>
      <c r="G66" s="21"/>
      <c r="H66" s="32">
        <v>120000</v>
      </c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1:18" ht="18" x14ac:dyDescent="0.4">
      <c r="A67" s="24" t="s">
        <v>153</v>
      </c>
      <c r="B67" s="25" t="s">
        <v>136</v>
      </c>
      <c r="C67" s="25"/>
      <c r="D67" s="26">
        <f>SUM(H70)-SUM(D66)</f>
        <v>120000</v>
      </c>
      <c r="E67" s="25" t="s">
        <v>79</v>
      </c>
      <c r="F67" s="25" t="s">
        <v>179</v>
      </c>
      <c r="G67" s="25"/>
      <c r="H67" s="28">
        <v>50000</v>
      </c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1:18" ht="18" x14ac:dyDescent="0.4">
      <c r="A68" s="24"/>
      <c r="B68" s="25"/>
      <c r="C68" s="25"/>
      <c r="D68" s="25"/>
      <c r="E68" s="25" t="s">
        <v>99</v>
      </c>
      <c r="F68" s="25" t="s">
        <v>137</v>
      </c>
      <c r="G68" s="25"/>
      <c r="H68" s="28">
        <v>250000</v>
      </c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1:18" ht="18" x14ac:dyDescent="0.4">
      <c r="A69" s="41"/>
      <c r="B69" s="41"/>
      <c r="C69" s="41"/>
      <c r="D69" s="41"/>
      <c r="E69" s="25"/>
      <c r="F69" s="25"/>
      <c r="G69" s="25"/>
      <c r="H69" s="27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1:18" ht="18" x14ac:dyDescent="0.4">
      <c r="A70" s="24"/>
      <c r="B70" s="25"/>
      <c r="C70" s="25"/>
      <c r="D70" s="33">
        <f>H70</f>
        <v>420000</v>
      </c>
      <c r="E70" s="25"/>
      <c r="F70" s="25"/>
      <c r="G70" s="25"/>
      <c r="H70" s="34">
        <f>SUM(H66:H68)</f>
        <v>420000</v>
      </c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1:18" ht="18.5" thickBot="1" x14ac:dyDescent="0.45">
      <c r="A71" s="29"/>
      <c r="B71" s="30"/>
      <c r="C71" s="30"/>
      <c r="D71" s="40"/>
      <c r="E71" s="30" t="s">
        <v>156</v>
      </c>
      <c r="F71" s="30" t="s">
        <v>139</v>
      </c>
      <c r="G71" s="30"/>
      <c r="H71" s="35">
        <f>D67</f>
        <v>120000</v>
      </c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8" ht="18" x14ac:dyDescent="0.4">
      <c r="A72" s="148" t="s">
        <v>182</v>
      </c>
      <c r="B72" s="148"/>
      <c r="C72" s="148"/>
      <c r="D72" s="148"/>
      <c r="E72" s="148"/>
      <c r="F72" s="148"/>
      <c r="G72" s="148"/>
      <c r="H72" s="148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spans="1:18" ht="18.5" thickBot="1" x14ac:dyDescent="0.45">
      <c r="A73" s="149" t="s">
        <v>158</v>
      </c>
      <c r="B73" s="149"/>
      <c r="C73" s="149"/>
      <c r="D73" s="149"/>
      <c r="E73" s="149"/>
      <c r="F73" s="149"/>
      <c r="G73" s="149"/>
      <c r="H73" s="149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spans="1:18" ht="18.5" thickBot="1" x14ac:dyDescent="0.45">
      <c r="A74" s="17" t="s">
        <v>2</v>
      </c>
      <c r="B74" s="18" t="s">
        <v>3</v>
      </c>
      <c r="C74" s="18" t="s">
        <v>133</v>
      </c>
      <c r="D74" s="18" t="s">
        <v>134</v>
      </c>
      <c r="E74" s="18" t="s">
        <v>2</v>
      </c>
      <c r="F74" s="18" t="s">
        <v>135</v>
      </c>
      <c r="G74" s="18" t="s">
        <v>133</v>
      </c>
      <c r="H74" s="19" t="s">
        <v>134</v>
      </c>
      <c r="I74" s="1"/>
      <c r="J74" s="1"/>
      <c r="K74" s="1"/>
      <c r="L74" s="1"/>
      <c r="M74" s="1"/>
      <c r="N74" s="1"/>
      <c r="O74" s="1"/>
      <c r="P74" s="1"/>
      <c r="Q74" s="1"/>
      <c r="R74" s="1"/>
    </row>
    <row r="75" spans="1:18" ht="18" x14ac:dyDescent="0.4">
      <c r="A75" s="20" t="s">
        <v>61</v>
      </c>
      <c r="B75" s="21" t="s">
        <v>151</v>
      </c>
      <c r="C75" s="21"/>
      <c r="D75" s="22">
        <v>42000</v>
      </c>
      <c r="E75" s="21" t="s">
        <v>153</v>
      </c>
      <c r="F75" s="21" t="s">
        <v>154</v>
      </c>
      <c r="G75" s="21"/>
      <c r="H75" s="32">
        <f>H77</f>
        <v>42000</v>
      </c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 ht="18" x14ac:dyDescent="0.4">
      <c r="A76" s="24"/>
      <c r="B76" s="25"/>
      <c r="C76" s="25"/>
      <c r="D76" s="25"/>
      <c r="E76" s="25"/>
      <c r="F76" s="25"/>
      <c r="G76" s="25"/>
      <c r="H76" s="27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spans="1:18" ht="18" x14ac:dyDescent="0.4">
      <c r="A77" s="24"/>
      <c r="B77" s="25"/>
      <c r="C77" s="25"/>
      <c r="D77" s="33">
        <f>D75</f>
        <v>42000</v>
      </c>
      <c r="E77" s="25"/>
      <c r="F77" s="25"/>
      <c r="G77" s="25"/>
      <c r="H77" s="34">
        <f>D77</f>
        <v>42000</v>
      </c>
      <c r="I77" s="1"/>
      <c r="J77" s="1"/>
      <c r="K77" s="1"/>
      <c r="L77" s="1"/>
      <c r="M77" s="1"/>
      <c r="N77" s="1"/>
      <c r="O77" s="1"/>
      <c r="P77" s="1"/>
      <c r="Q77" s="1"/>
      <c r="R77" s="1"/>
    </row>
    <row r="78" spans="1:18" ht="18.5" thickBot="1" x14ac:dyDescent="0.45">
      <c r="A78" s="29" t="s">
        <v>156</v>
      </c>
      <c r="B78" s="30" t="s">
        <v>155</v>
      </c>
      <c r="C78" s="30"/>
      <c r="D78" s="40">
        <f>H75</f>
        <v>42000</v>
      </c>
      <c r="E78" s="30"/>
      <c r="F78" s="30"/>
      <c r="G78" s="30"/>
      <c r="H78" s="3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spans="1:18" ht="18" x14ac:dyDescent="0.4">
      <c r="A79" s="148" t="s">
        <v>180</v>
      </c>
      <c r="B79" s="148"/>
      <c r="C79" s="148"/>
      <c r="D79" s="148"/>
      <c r="E79" s="148"/>
      <c r="F79" s="148"/>
      <c r="G79" s="148"/>
      <c r="H79" s="148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spans="1:18" ht="18.5" thickBot="1" x14ac:dyDescent="0.45">
      <c r="A80" s="149" t="s">
        <v>158</v>
      </c>
      <c r="B80" s="149"/>
      <c r="C80" s="149"/>
      <c r="D80" s="149"/>
      <c r="E80" s="149"/>
      <c r="F80" s="149"/>
      <c r="G80" s="149"/>
      <c r="H80" s="149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spans="1:18" ht="18.5" thickBot="1" x14ac:dyDescent="0.45">
      <c r="A81" s="17" t="s">
        <v>2</v>
      </c>
      <c r="B81" s="18" t="s">
        <v>3</v>
      </c>
      <c r="C81" s="18" t="s">
        <v>133</v>
      </c>
      <c r="D81" s="18" t="s">
        <v>134</v>
      </c>
      <c r="E81" s="18" t="s">
        <v>2</v>
      </c>
      <c r="F81" s="18" t="s">
        <v>135</v>
      </c>
      <c r="G81" s="18" t="s">
        <v>133</v>
      </c>
      <c r="H81" s="19" t="s">
        <v>134</v>
      </c>
      <c r="I81" s="1"/>
      <c r="J81" s="1"/>
      <c r="K81" s="1"/>
      <c r="L81" s="1"/>
      <c r="M81" s="1"/>
      <c r="N81" s="1"/>
      <c r="O81" s="1"/>
      <c r="P81" s="1"/>
      <c r="Q81" s="1"/>
      <c r="R81" s="1"/>
    </row>
    <row r="82" spans="1:18" ht="18" x14ac:dyDescent="0.4">
      <c r="A82" s="20" t="s">
        <v>64</v>
      </c>
      <c r="B82" s="21" t="s">
        <v>172</v>
      </c>
      <c r="C82" s="21"/>
      <c r="D82" s="22">
        <v>20000</v>
      </c>
      <c r="E82" s="21" t="s">
        <v>153</v>
      </c>
      <c r="F82" s="21" t="s">
        <v>154</v>
      </c>
      <c r="G82" s="21"/>
      <c r="H82" s="32">
        <f>H84</f>
        <v>20000</v>
      </c>
      <c r="I82" s="1"/>
      <c r="J82" s="1"/>
      <c r="K82" s="1"/>
      <c r="L82" s="1"/>
      <c r="M82" s="1"/>
      <c r="N82" s="1"/>
      <c r="O82" s="1"/>
      <c r="P82" s="1"/>
      <c r="Q82" s="1"/>
      <c r="R82" s="1"/>
    </row>
    <row r="83" spans="1:18" ht="18" x14ac:dyDescent="0.4">
      <c r="A83" s="24"/>
      <c r="B83" s="25"/>
      <c r="C83" s="25"/>
      <c r="D83" s="25"/>
      <c r="E83" s="25"/>
      <c r="F83" s="25"/>
      <c r="G83" s="25"/>
      <c r="H83" s="27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spans="1:18" ht="18" x14ac:dyDescent="0.4">
      <c r="A84" s="24"/>
      <c r="B84" s="25"/>
      <c r="C84" s="25"/>
      <c r="D84" s="33">
        <f>D82</f>
        <v>20000</v>
      </c>
      <c r="E84" s="25"/>
      <c r="F84" s="25"/>
      <c r="G84" s="25"/>
      <c r="H84" s="34">
        <f>D84</f>
        <v>20000</v>
      </c>
      <c r="I84" s="1"/>
      <c r="J84" s="1"/>
      <c r="K84" s="1"/>
      <c r="L84" s="1"/>
      <c r="M84" s="1"/>
      <c r="N84" s="1"/>
      <c r="O84" s="1"/>
      <c r="P84" s="1"/>
      <c r="Q84" s="1"/>
      <c r="R84" s="1"/>
    </row>
    <row r="85" spans="1:18" ht="18.5" thickBot="1" x14ac:dyDescent="0.45">
      <c r="A85" s="29" t="s">
        <v>156</v>
      </c>
      <c r="B85" s="30" t="s">
        <v>155</v>
      </c>
      <c r="C85" s="30"/>
      <c r="D85" s="40">
        <f>H82</f>
        <v>20000</v>
      </c>
      <c r="E85" s="30"/>
      <c r="F85" s="30"/>
      <c r="G85" s="30"/>
      <c r="H85" s="3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spans="1:18" ht="18" x14ac:dyDescent="0.4">
      <c r="A86" s="148" t="s">
        <v>183</v>
      </c>
      <c r="B86" s="148"/>
      <c r="C86" s="148"/>
      <c r="D86" s="148"/>
      <c r="E86" s="148"/>
      <c r="F86" s="148"/>
      <c r="G86" s="148"/>
      <c r="H86" s="148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 spans="1:18" ht="18.5" thickBot="1" x14ac:dyDescent="0.45">
      <c r="A87" s="149" t="s">
        <v>158</v>
      </c>
      <c r="B87" s="149"/>
      <c r="C87" s="149"/>
      <c r="D87" s="149"/>
      <c r="E87" s="149"/>
      <c r="F87" s="149"/>
      <c r="G87" s="149"/>
      <c r="H87" s="149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 spans="1:18" ht="18.5" thickBot="1" x14ac:dyDescent="0.45">
      <c r="A88" s="17" t="s">
        <v>2</v>
      </c>
      <c r="B88" s="18" t="s">
        <v>3</v>
      </c>
      <c r="C88" s="18" t="s">
        <v>133</v>
      </c>
      <c r="D88" s="18" t="s">
        <v>134</v>
      </c>
      <c r="E88" s="18" t="s">
        <v>2</v>
      </c>
      <c r="F88" s="18" t="s">
        <v>135</v>
      </c>
      <c r="G88" s="18" t="s">
        <v>133</v>
      </c>
      <c r="H88" s="19" t="s">
        <v>134</v>
      </c>
      <c r="I88" s="1"/>
      <c r="J88" s="1"/>
      <c r="K88" s="1"/>
      <c r="L88" s="1"/>
      <c r="M88" s="1"/>
      <c r="N88" s="1"/>
      <c r="O88" s="1"/>
      <c r="P88" s="1"/>
      <c r="Q88" s="1"/>
      <c r="R88" s="1"/>
    </row>
    <row r="89" spans="1:18" ht="18" x14ac:dyDescent="0.4">
      <c r="A89" s="20" t="s">
        <v>67</v>
      </c>
      <c r="B89" s="21" t="s">
        <v>172</v>
      </c>
      <c r="C89" s="21"/>
      <c r="D89" s="22">
        <v>10000</v>
      </c>
      <c r="E89" s="21" t="s">
        <v>153</v>
      </c>
      <c r="F89" s="21" t="s">
        <v>154</v>
      </c>
      <c r="G89" s="21"/>
      <c r="H89" s="32">
        <f>H91</f>
        <v>10000</v>
      </c>
      <c r="I89" s="1"/>
      <c r="J89" s="1"/>
      <c r="K89" s="1"/>
      <c r="L89" s="1"/>
      <c r="M89" s="1"/>
      <c r="N89" s="1"/>
      <c r="O89" s="1"/>
      <c r="P89" s="1"/>
      <c r="Q89" s="1"/>
      <c r="R89" s="1"/>
    </row>
    <row r="90" spans="1:18" ht="18" x14ac:dyDescent="0.4">
      <c r="A90" s="24"/>
      <c r="B90" s="25"/>
      <c r="C90" s="25"/>
      <c r="D90" s="25"/>
      <c r="E90" s="25"/>
      <c r="F90" s="25"/>
      <c r="G90" s="25"/>
      <c r="H90" s="27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 spans="1:18" ht="18" x14ac:dyDescent="0.4">
      <c r="A91" s="24"/>
      <c r="B91" s="25"/>
      <c r="C91" s="25"/>
      <c r="D91" s="33">
        <f>D89</f>
        <v>10000</v>
      </c>
      <c r="E91" s="25"/>
      <c r="F91" s="25"/>
      <c r="G91" s="25"/>
      <c r="H91" s="34">
        <f>D91</f>
        <v>10000</v>
      </c>
      <c r="I91" s="1"/>
      <c r="J91" s="1"/>
      <c r="K91" s="1"/>
      <c r="L91" s="1"/>
      <c r="M91" s="1"/>
      <c r="N91" s="1"/>
      <c r="O91" s="1"/>
      <c r="P91" s="1"/>
      <c r="Q91" s="1"/>
      <c r="R91" s="1"/>
    </row>
    <row r="92" spans="1:18" ht="18.5" thickBot="1" x14ac:dyDescent="0.45">
      <c r="A92" s="29" t="s">
        <v>156</v>
      </c>
      <c r="B92" s="30" t="s">
        <v>155</v>
      </c>
      <c r="C92" s="30"/>
      <c r="D92" s="40">
        <f>H89</f>
        <v>10000</v>
      </c>
      <c r="E92" s="30"/>
      <c r="F92" s="30"/>
      <c r="G92" s="30"/>
      <c r="H92" s="3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spans="1:18" ht="18" x14ac:dyDescent="0.4">
      <c r="A93" s="148" t="s">
        <v>184</v>
      </c>
      <c r="B93" s="148"/>
      <c r="C93" s="148"/>
      <c r="D93" s="148"/>
      <c r="E93" s="148"/>
      <c r="F93" s="148"/>
      <c r="G93" s="148"/>
      <c r="H93" s="148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 spans="1:18" ht="18.5" thickBot="1" x14ac:dyDescent="0.45">
      <c r="A94" s="149" t="s">
        <v>158</v>
      </c>
      <c r="B94" s="149"/>
      <c r="C94" s="149"/>
      <c r="D94" s="149"/>
      <c r="E94" s="149"/>
      <c r="F94" s="149"/>
      <c r="G94" s="149"/>
      <c r="H94" s="149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 spans="1:18" ht="18.5" thickBot="1" x14ac:dyDescent="0.45">
      <c r="A95" s="17" t="s">
        <v>2</v>
      </c>
      <c r="B95" s="18" t="s">
        <v>3</v>
      </c>
      <c r="C95" s="18" t="s">
        <v>133</v>
      </c>
      <c r="D95" s="18" t="s">
        <v>134</v>
      </c>
      <c r="E95" s="18" t="s">
        <v>2</v>
      </c>
      <c r="F95" s="18" t="s">
        <v>135</v>
      </c>
      <c r="G95" s="18" t="s">
        <v>133</v>
      </c>
      <c r="H95" s="19" t="s">
        <v>134</v>
      </c>
      <c r="I95" s="1"/>
      <c r="J95" s="1"/>
      <c r="K95" s="1"/>
      <c r="L95" s="1"/>
      <c r="M95" s="1"/>
      <c r="N95" s="1"/>
      <c r="O95" s="1"/>
      <c r="P95" s="1"/>
      <c r="Q95" s="1"/>
      <c r="R95" s="1"/>
    </row>
    <row r="96" spans="1:18" ht="18" x14ac:dyDescent="0.4">
      <c r="A96" s="20" t="s">
        <v>153</v>
      </c>
      <c r="B96" s="21" t="s">
        <v>136</v>
      </c>
      <c r="C96" s="21"/>
      <c r="D96" s="22">
        <f>SUM(H98)</f>
        <v>30000</v>
      </c>
      <c r="E96" s="21" t="s">
        <v>70</v>
      </c>
      <c r="F96" s="21" t="s">
        <v>164</v>
      </c>
      <c r="G96" s="21"/>
      <c r="H96" s="32">
        <v>30000</v>
      </c>
      <c r="I96" s="1"/>
      <c r="J96" s="1"/>
      <c r="K96" s="1"/>
      <c r="L96" s="1"/>
      <c r="M96" s="1"/>
      <c r="N96" s="1"/>
      <c r="O96" s="1"/>
      <c r="P96" s="1"/>
      <c r="Q96" s="1"/>
      <c r="R96" s="1"/>
    </row>
    <row r="97" spans="1:18" ht="18" x14ac:dyDescent="0.4">
      <c r="A97" s="43"/>
      <c r="B97" s="41"/>
      <c r="C97" s="41"/>
      <c r="D97" s="41"/>
      <c r="E97" s="25"/>
      <c r="F97" s="25"/>
      <c r="G97" s="25"/>
      <c r="H97" s="27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 spans="1:18" ht="18" x14ac:dyDescent="0.4">
      <c r="A98" s="24"/>
      <c r="B98" s="25"/>
      <c r="C98" s="25"/>
      <c r="D98" s="33">
        <f>H98</f>
        <v>30000</v>
      </c>
      <c r="E98" s="25"/>
      <c r="F98" s="25"/>
      <c r="G98" s="25"/>
      <c r="H98" s="34">
        <f>SUM(H96:H96)</f>
        <v>30000</v>
      </c>
      <c r="I98" s="1"/>
      <c r="J98" s="1"/>
      <c r="K98" s="1"/>
      <c r="L98" s="1"/>
      <c r="M98" s="1"/>
      <c r="N98" s="1"/>
      <c r="O98" s="1"/>
      <c r="P98" s="1"/>
      <c r="Q98" s="1"/>
      <c r="R98" s="1"/>
    </row>
    <row r="99" spans="1:18" ht="18.5" thickBot="1" x14ac:dyDescent="0.45">
      <c r="A99" s="29"/>
      <c r="B99" s="30"/>
      <c r="C99" s="30"/>
      <c r="D99" s="40"/>
      <c r="E99" s="30" t="s">
        <v>156</v>
      </c>
      <c r="F99" s="30" t="s">
        <v>139</v>
      </c>
      <c r="G99" s="30"/>
      <c r="H99" s="35">
        <f>D96</f>
        <v>30000</v>
      </c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spans="1:18" ht="18" x14ac:dyDescent="0.4">
      <c r="A100" s="148" t="s">
        <v>185</v>
      </c>
      <c r="B100" s="148"/>
      <c r="C100" s="148"/>
      <c r="D100" s="148"/>
      <c r="E100" s="148"/>
      <c r="F100" s="148"/>
      <c r="G100" s="148"/>
      <c r="H100" s="148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 spans="1:18" ht="18.5" thickBot="1" x14ac:dyDescent="0.45">
      <c r="A101" s="149" t="s">
        <v>158</v>
      </c>
      <c r="B101" s="149"/>
      <c r="C101" s="149"/>
      <c r="D101" s="149"/>
      <c r="E101" s="149"/>
      <c r="F101" s="149"/>
      <c r="G101" s="149"/>
      <c r="H101" s="149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 spans="1:18" ht="18.5" thickBot="1" x14ac:dyDescent="0.45">
      <c r="A102" s="17" t="s">
        <v>2</v>
      </c>
      <c r="B102" s="18" t="s">
        <v>3</v>
      </c>
      <c r="C102" s="18" t="s">
        <v>133</v>
      </c>
      <c r="D102" s="18" t="s">
        <v>134</v>
      </c>
      <c r="E102" s="18" t="s">
        <v>2</v>
      </c>
      <c r="F102" s="18" t="s">
        <v>135</v>
      </c>
      <c r="G102" s="18" t="s">
        <v>133</v>
      </c>
      <c r="H102" s="19" t="s">
        <v>134</v>
      </c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 spans="1:18" ht="18" x14ac:dyDescent="0.4">
      <c r="A103" s="20" t="s">
        <v>153</v>
      </c>
      <c r="B103" s="21" t="s">
        <v>136</v>
      </c>
      <c r="C103" s="21"/>
      <c r="D103" s="22">
        <f>D107</f>
        <v>660000</v>
      </c>
      <c r="E103" s="21" t="s">
        <v>73</v>
      </c>
      <c r="F103" s="21" t="s">
        <v>186</v>
      </c>
      <c r="G103" s="21"/>
      <c r="H103" s="32">
        <v>300000</v>
      </c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 spans="1:18" ht="18" x14ac:dyDescent="0.4">
      <c r="A104" s="24"/>
      <c r="B104" s="25"/>
      <c r="C104" s="25"/>
      <c r="D104" s="25"/>
      <c r="E104" s="25" t="s">
        <v>88</v>
      </c>
      <c r="F104" s="25" t="s">
        <v>137</v>
      </c>
      <c r="G104" s="25"/>
      <c r="H104" s="28">
        <v>80000</v>
      </c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 spans="1:18" ht="18" x14ac:dyDescent="0.4">
      <c r="A105" s="24"/>
      <c r="B105" s="25"/>
      <c r="C105" s="25"/>
      <c r="D105" s="25"/>
      <c r="E105" s="25" t="s">
        <v>109</v>
      </c>
      <c r="F105" s="25" t="s">
        <v>187</v>
      </c>
      <c r="G105" s="25"/>
      <c r="H105" s="28">
        <v>280000</v>
      </c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 spans="1:18" ht="18" x14ac:dyDescent="0.4">
      <c r="A106" s="43"/>
      <c r="B106" s="41"/>
      <c r="C106" s="41"/>
      <c r="D106" s="41"/>
      <c r="E106" s="25"/>
      <c r="F106" s="25"/>
      <c r="G106" s="25"/>
      <c r="H106" s="27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 spans="1:18" ht="18" x14ac:dyDescent="0.4">
      <c r="A107" s="24"/>
      <c r="B107" s="25"/>
      <c r="C107" s="25"/>
      <c r="D107" s="33">
        <f>H107</f>
        <v>660000</v>
      </c>
      <c r="E107" s="25"/>
      <c r="F107" s="25"/>
      <c r="G107" s="25"/>
      <c r="H107" s="34">
        <f>SUM(H103:H105)</f>
        <v>660000</v>
      </c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 spans="1:18" ht="18.5" thickBot="1" x14ac:dyDescent="0.45">
      <c r="A108" s="29"/>
      <c r="B108" s="30"/>
      <c r="C108" s="30"/>
      <c r="D108" s="40"/>
      <c r="E108" s="30" t="s">
        <v>156</v>
      </c>
      <c r="F108" s="30" t="s">
        <v>139</v>
      </c>
      <c r="G108" s="30"/>
      <c r="H108" s="35">
        <f>D103</f>
        <v>660000</v>
      </c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 spans="1:18" ht="18" x14ac:dyDescent="0.4">
      <c r="A109" s="148" t="s">
        <v>188</v>
      </c>
      <c r="B109" s="148"/>
      <c r="C109" s="148"/>
      <c r="D109" s="148"/>
      <c r="E109" s="148"/>
      <c r="F109" s="148"/>
      <c r="G109" s="148"/>
      <c r="H109" s="148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 spans="1:18" ht="18.5" thickBot="1" x14ac:dyDescent="0.45">
      <c r="A110" s="149" t="s">
        <v>158</v>
      </c>
      <c r="B110" s="149"/>
      <c r="C110" s="149"/>
      <c r="D110" s="149"/>
      <c r="E110" s="149"/>
      <c r="F110" s="149"/>
      <c r="G110" s="149"/>
      <c r="H110" s="149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 spans="1:18" ht="18.5" thickBot="1" x14ac:dyDescent="0.45">
      <c r="A111" s="17" t="s">
        <v>2</v>
      </c>
      <c r="B111" s="18" t="s">
        <v>3</v>
      </c>
      <c r="C111" s="18" t="s">
        <v>133</v>
      </c>
      <c r="D111" s="18" t="s">
        <v>134</v>
      </c>
      <c r="E111" s="18" t="s">
        <v>2</v>
      </c>
      <c r="F111" s="18" t="s">
        <v>135</v>
      </c>
      <c r="G111" s="18" t="s">
        <v>133</v>
      </c>
      <c r="H111" s="19" t="s">
        <v>134</v>
      </c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 spans="1:18" ht="18" x14ac:dyDescent="0.4">
      <c r="A112" s="20" t="s">
        <v>76</v>
      </c>
      <c r="B112" s="21" t="s">
        <v>172</v>
      </c>
      <c r="C112" s="21"/>
      <c r="D112" s="22">
        <v>15000</v>
      </c>
      <c r="E112" s="21" t="s">
        <v>153</v>
      </c>
      <c r="F112" s="21" t="s">
        <v>154</v>
      </c>
      <c r="G112" s="21"/>
      <c r="H112" s="32">
        <f>H114</f>
        <v>15000</v>
      </c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 spans="1:18" ht="18" x14ac:dyDescent="0.4">
      <c r="A113" s="24"/>
      <c r="B113" s="25"/>
      <c r="C113" s="25"/>
      <c r="D113" s="25"/>
      <c r="E113" s="25"/>
      <c r="F113" s="25"/>
      <c r="G113" s="25"/>
      <c r="H113" s="27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 spans="1:18" ht="18" x14ac:dyDescent="0.4">
      <c r="A114" s="24"/>
      <c r="B114" s="25"/>
      <c r="C114" s="25"/>
      <c r="D114" s="33">
        <f>D112</f>
        <v>15000</v>
      </c>
      <c r="E114" s="25"/>
      <c r="F114" s="25"/>
      <c r="G114" s="25"/>
      <c r="H114" s="34">
        <f>D114</f>
        <v>15000</v>
      </c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 spans="1:18" ht="18.5" thickBot="1" x14ac:dyDescent="0.45">
      <c r="A115" s="29" t="s">
        <v>156</v>
      </c>
      <c r="B115" s="30" t="s">
        <v>155</v>
      </c>
      <c r="C115" s="30"/>
      <c r="D115" s="40">
        <f>H112</f>
        <v>15000</v>
      </c>
      <c r="E115" s="30"/>
      <c r="F115" s="30"/>
      <c r="G115" s="30"/>
      <c r="H115" s="3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 spans="1:18" ht="18" x14ac:dyDescent="0.4">
      <c r="A116" s="148" t="s">
        <v>189</v>
      </c>
      <c r="B116" s="148"/>
      <c r="C116" s="148"/>
      <c r="D116" s="148"/>
      <c r="E116" s="148"/>
      <c r="F116" s="148"/>
      <c r="G116" s="148"/>
      <c r="H116" s="148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 spans="1:18" ht="18.5" thickBot="1" x14ac:dyDescent="0.45">
      <c r="A117" s="149" t="s">
        <v>158</v>
      </c>
      <c r="B117" s="149"/>
      <c r="C117" s="149"/>
      <c r="D117" s="149"/>
      <c r="E117" s="149"/>
      <c r="F117" s="149"/>
      <c r="G117" s="149"/>
      <c r="H117" s="149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 spans="1:18" ht="18.5" thickBot="1" x14ac:dyDescent="0.45">
      <c r="A118" s="17" t="s">
        <v>2</v>
      </c>
      <c r="B118" s="18" t="s">
        <v>3</v>
      </c>
      <c r="C118" s="18" t="s">
        <v>133</v>
      </c>
      <c r="D118" s="18" t="s">
        <v>134</v>
      </c>
      <c r="E118" s="18" t="s">
        <v>2</v>
      </c>
      <c r="F118" s="18" t="s">
        <v>135</v>
      </c>
      <c r="G118" s="18" t="s">
        <v>133</v>
      </c>
      <c r="H118" s="19" t="s">
        <v>134</v>
      </c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 spans="1:18" ht="18" x14ac:dyDescent="0.4">
      <c r="A119" s="20" t="s">
        <v>79</v>
      </c>
      <c r="B119" s="21" t="s">
        <v>190</v>
      </c>
      <c r="C119" s="21"/>
      <c r="D119" s="22">
        <v>50000</v>
      </c>
      <c r="E119" s="21" t="s">
        <v>153</v>
      </c>
      <c r="F119" s="21" t="s">
        <v>154</v>
      </c>
      <c r="G119" s="21"/>
      <c r="H119" s="32">
        <f>H121</f>
        <v>50000</v>
      </c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 spans="1:18" ht="18" x14ac:dyDescent="0.4">
      <c r="A120" s="24"/>
      <c r="B120" s="25"/>
      <c r="C120" s="25"/>
      <c r="D120" s="25"/>
      <c r="E120" s="25"/>
      <c r="F120" s="25"/>
      <c r="G120" s="25"/>
      <c r="H120" s="27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 spans="1:18" ht="18" x14ac:dyDescent="0.4">
      <c r="A121" s="24"/>
      <c r="B121" s="25"/>
      <c r="C121" s="25"/>
      <c r="D121" s="33">
        <f>D119</f>
        <v>50000</v>
      </c>
      <c r="E121" s="25"/>
      <c r="F121" s="25"/>
      <c r="G121" s="25"/>
      <c r="H121" s="34">
        <f>D121</f>
        <v>50000</v>
      </c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 spans="1:18" ht="18.5" thickBot="1" x14ac:dyDescent="0.45">
      <c r="A122" s="29" t="s">
        <v>156</v>
      </c>
      <c r="B122" s="30" t="s">
        <v>155</v>
      </c>
      <c r="C122" s="30"/>
      <c r="D122" s="40">
        <f>H119</f>
        <v>50000</v>
      </c>
      <c r="E122" s="30"/>
      <c r="F122" s="30"/>
      <c r="G122" s="30"/>
      <c r="H122" s="3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 spans="1:18" ht="18" x14ac:dyDescent="0.4">
      <c r="A123" s="148" t="s">
        <v>191</v>
      </c>
      <c r="B123" s="148"/>
      <c r="C123" s="148"/>
      <c r="D123" s="148"/>
      <c r="E123" s="148"/>
      <c r="F123" s="148"/>
      <c r="G123" s="148"/>
      <c r="H123" s="148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 spans="1:18" ht="18.5" thickBot="1" x14ac:dyDescent="0.45">
      <c r="A124" s="149" t="s">
        <v>158</v>
      </c>
      <c r="B124" s="149"/>
      <c r="C124" s="149"/>
      <c r="D124" s="149"/>
      <c r="E124" s="149"/>
      <c r="F124" s="149"/>
      <c r="G124" s="149"/>
      <c r="H124" s="149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 spans="1:18" ht="18.5" thickBot="1" x14ac:dyDescent="0.45">
      <c r="A125" s="17" t="s">
        <v>2</v>
      </c>
      <c r="B125" s="18" t="s">
        <v>3</v>
      </c>
      <c r="C125" s="18" t="s">
        <v>133</v>
      </c>
      <c r="D125" s="18" t="s">
        <v>134</v>
      </c>
      <c r="E125" s="18" t="s">
        <v>2</v>
      </c>
      <c r="F125" s="18" t="s">
        <v>135</v>
      </c>
      <c r="G125" s="18" t="s">
        <v>133</v>
      </c>
      <c r="H125" s="19" t="s">
        <v>134</v>
      </c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 spans="1:18" ht="18" x14ac:dyDescent="0.4">
      <c r="A126" s="20" t="s">
        <v>83</v>
      </c>
      <c r="B126" s="21" t="s">
        <v>172</v>
      </c>
      <c r="C126" s="21"/>
      <c r="D126" s="22">
        <v>5000</v>
      </c>
      <c r="E126" s="21" t="s">
        <v>153</v>
      </c>
      <c r="F126" s="21" t="s">
        <v>154</v>
      </c>
      <c r="G126" s="21"/>
      <c r="H126" s="32">
        <f>H128</f>
        <v>5000</v>
      </c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 spans="1:18" ht="18" x14ac:dyDescent="0.4">
      <c r="A127" s="24"/>
      <c r="B127" s="25"/>
      <c r="C127" s="25"/>
      <c r="D127" s="25"/>
      <c r="E127" s="25"/>
      <c r="F127" s="25"/>
      <c r="G127" s="25"/>
      <c r="H127" s="27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 spans="1:18" ht="18" x14ac:dyDescent="0.4">
      <c r="A128" s="24"/>
      <c r="B128" s="25"/>
      <c r="C128" s="25"/>
      <c r="D128" s="33">
        <f>D126</f>
        <v>5000</v>
      </c>
      <c r="E128" s="25"/>
      <c r="F128" s="25"/>
      <c r="G128" s="25"/>
      <c r="H128" s="34">
        <f>D128</f>
        <v>5000</v>
      </c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 spans="1:18" ht="18.5" thickBot="1" x14ac:dyDescent="0.45">
      <c r="A129" s="29" t="s">
        <v>156</v>
      </c>
      <c r="B129" s="30" t="s">
        <v>155</v>
      </c>
      <c r="C129" s="30"/>
      <c r="D129" s="40">
        <f>H126</f>
        <v>5000</v>
      </c>
      <c r="E129" s="30"/>
      <c r="F129" s="30"/>
      <c r="G129" s="30"/>
      <c r="H129" s="3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 spans="1:18" ht="18" x14ac:dyDescent="0.4">
      <c r="A130" s="148" t="s">
        <v>192</v>
      </c>
      <c r="B130" s="148"/>
      <c r="C130" s="148"/>
      <c r="D130" s="148"/>
      <c r="E130" s="148"/>
      <c r="F130" s="148"/>
      <c r="G130" s="148"/>
      <c r="H130" s="148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 spans="1:18" ht="18.5" thickBot="1" x14ac:dyDescent="0.45">
      <c r="A131" s="149" t="s">
        <v>158</v>
      </c>
      <c r="B131" s="149"/>
      <c r="C131" s="149"/>
      <c r="D131" s="149"/>
      <c r="E131" s="149"/>
      <c r="F131" s="149"/>
      <c r="G131" s="149"/>
      <c r="H131" s="149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 spans="1:18" ht="18.5" thickBot="1" x14ac:dyDescent="0.45">
      <c r="A132" s="17" t="s">
        <v>2</v>
      </c>
      <c r="B132" s="18" t="s">
        <v>3</v>
      </c>
      <c r="C132" s="18" t="s">
        <v>133</v>
      </c>
      <c r="D132" s="18" t="s">
        <v>134</v>
      </c>
      <c r="E132" s="18" t="s">
        <v>2</v>
      </c>
      <c r="F132" s="18" t="s">
        <v>135</v>
      </c>
      <c r="G132" s="18" t="s">
        <v>133</v>
      </c>
      <c r="H132" s="19" t="s">
        <v>134</v>
      </c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 spans="1:18" ht="18" x14ac:dyDescent="0.4">
      <c r="A133" s="20" t="s">
        <v>91</v>
      </c>
      <c r="B133" s="21" t="s">
        <v>151</v>
      </c>
      <c r="C133" s="21"/>
      <c r="D133" s="22">
        <v>25000</v>
      </c>
      <c r="E133" s="21" t="s">
        <v>153</v>
      </c>
      <c r="F133" s="21" t="s">
        <v>154</v>
      </c>
      <c r="G133" s="21"/>
      <c r="H133" s="32">
        <f>H135</f>
        <v>25000</v>
      </c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 spans="1:18" ht="18" x14ac:dyDescent="0.4">
      <c r="A134" s="24"/>
      <c r="B134" s="25"/>
      <c r="C134" s="25"/>
      <c r="D134" s="25"/>
      <c r="E134" s="25"/>
      <c r="F134" s="25"/>
      <c r="G134" s="25"/>
      <c r="H134" s="27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 spans="1:18" ht="18" x14ac:dyDescent="0.4">
      <c r="A135" s="24"/>
      <c r="B135" s="25"/>
      <c r="C135" s="25"/>
      <c r="D135" s="33">
        <f>D133</f>
        <v>25000</v>
      </c>
      <c r="E135" s="25"/>
      <c r="F135" s="25"/>
      <c r="G135" s="25"/>
      <c r="H135" s="34">
        <f>D135</f>
        <v>25000</v>
      </c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 spans="1:18" ht="18.5" thickBot="1" x14ac:dyDescent="0.45">
      <c r="A136" s="29" t="s">
        <v>156</v>
      </c>
      <c r="B136" s="30" t="s">
        <v>155</v>
      </c>
      <c r="C136" s="30"/>
      <c r="D136" s="40">
        <f>H133</f>
        <v>25000</v>
      </c>
      <c r="E136" s="30"/>
      <c r="F136" s="30"/>
      <c r="G136" s="30"/>
      <c r="H136" s="3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 spans="1:18" ht="18" x14ac:dyDescent="0.4">
      <c r="A137" s="148" t="s">
        <v>193</v>
      </c>
      <c r="B137" s="148"/>
      <c r="C137" s="148"/>
      <c r="D137" s="148"/>
      <c r="E137" s="148"/>
      <c r="F137" s="148"/>
      <c r="G137" s="148"/>
      <c r="H137" s="148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 spans="1:18" ht="18.5" thickBot="1" x14ac:dyDescent="0.45">
      <c r="A138" s="149" t="s">
        <v>158</v>
      </c>
      <c r="B138" s="149"/>
      <c r="C138" s="149"/>
      <c r="D138" s="149"/>
      <c r="E138" s="149"/>
      <c r="F138" s="149"/>
      <c r="G138" s="149"/>
      <c r="H138" s="149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 spans="1:18" ht="18.5" thickBot="1" x14ac:dyDescent="0.45">
      <c r="A139" s="17" t="s">
        <v>2</v>
      </c>
      <c r="B139" s="18" t="s">
        <v>3</v>
      </c>
      <c r="C139" s="18" t="s">
        <v>133</v>
      </c>
      <c r="D139" s="18" t="s">
        <v>134</v>
      </c>
      <c r="E139" s="18" t="s">
        <v>2</v>
      </c>
      <c r="F139" s="18" t="s">
        <v>135</v>
      </c>
      <c r="G139" s="18" t="s">
        <v>133</v>
      </c>
      <c r="H139" s="19" t="s">
        <v>134</v>
      </c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 spans="1:18" ht="18" x14ac:dyDescent="0.4">
      <c r="A140" s="20" t="s">
        <v>94</v>
      </c>
      <c r="B140" s="21" t="s">
        <v>151</v>
      </c>
      <c r="C140" s="21"/>
      <c r="D140" s="22">
        <v>30000</v>
      </c>
      <c r="E140" s="21" t="s">
        <v>153</v>
      </c>
      <c r="F140" s="21" t="s">
        <v>154</v>
      </c>
      <c r="G140" s="21"/>
      <c r="H140" s="32">
        <f>H142</f>
        <v>30000</v>
      </c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 spans="1:18" ht="18" x14ac:dyDescent="0.4">
      <c r="A141" s="24"/>
      <c r="B141" s="25"/>
      <c r="C141" s="25"/>
      <c r="D141" s="25"/>
      <c r="E141" s="25"/>
      <c r="F141" s="25"/>
      <c r="G141" s="25"/>
      <c r="H141" s="27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 spans="1:18" ht="18" x14ac:dyDescent="0.4">
      <c r="A142" s="24"/>
      <c r="B142" s="25"/>
      <c r="C142" s="25"/>
      <c r="D142" s="33">
        <f>D140</f>
        <v>30000</v>
      </c>
      <c r="E142" s="25"/>
      <c r="F142" s="25"/>
      <c r="G142" s="25"/>
      <c r="H142" s="34">
        <f>D142</f>
        <v>30000</v>
      </c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 spans="1:18" ht="18.5" thickBot="1" x14ac:dyDescent="0.45">
      <c r="A143" s="29" t="s">
        <v>156</v>
      </c>
      <c r="B143" s="30" t="s">
        <v>155</v>
      </c>
      <c r="C143" s="30"/>
      <c r="D143" s="40">
        <f>H140</f>
        <v>30000</v>
      </c>
      <c r="E143" s="30"/>
      <c r="F143" s="30"/>
      <c r="G143" s="30"/>
      <c r="H143" s="3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 spans="1:18" ht="18" x14ac:dyDescent="0.4">
      <c r="A144" s="148" t="s">
        <v>194</v>
      </c>
      <c r="B144" s="148"/>
      <c r="C144" s="148"/>
      <c r="D144" s="148"/>
      <c r="E144" s="148"/>
      <c r="F144" s="148"/>
      <c r="G144" s="148"/>
      <c r="H144" s="148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 spans="1:18" ht="18.5" thickBot="1" x14ac:dyDescent="0.45">
      <c r="A145" s="149" t="s">
        <v>158</v>
      </c>
      <c r="B145" s="149"/>
      <c r="C145" s="149"/>
      <c r="D145" s="149"/>
      <c r="E145" s="149"/>
      <c r="F145" s="149"/>
      <c r="G145" s="149"/>
      <c r="H145" s="149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 spans="1:18" ht="18.5" thickBot="1" x14ac:dyDescent="0.45">
      <c r="A146" s="17" t="s">
        <v>2</v>
      </c>
      <c r="B146" s="18" t="s">
        <v>3</v>
      </c>
      <c r="C146" s="18" t="s">
        <v>133</v>
      </c>
      <c r="D146" s="18" t="s">
        <v>134</v>
      </c>
      <c r="E146" s="18" t="s">
        <v>2</v>
      </c>
      <c r="F146" s="18" t="s">
        <v>135</v>
      </c>
      <c r="G146" s="18" t="s">
        <v>133</v>
      </c>
      <c r="H146" s="19" t="s">
        <v>134</v>
      </c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 spans="1:18" ht="18" x14ac:dyDescent="0.4">
      <c r="A147" s="20" t="s">
        <v>101</v>
      </c>
      <c r="B147" s="21" t="s">
        <v>151</v>
      </c>
      <c r="C147" s="21"/>
      <c r="D147" s="22">
        <v>213000</v>
      </c>
      <c r="E147" s="21" t="s">
        <v>153</v>
      </c>
      <c r="F147" s="21" t="s">
        <v>154</v>
      </c>
      <c r="G147" s="21"/>
      <c r="H147" s="32">
        <f>H149</f>
        <v>213000</v>
      </c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 spans="1:18" ht="18" x14ac:dyDescent="0.4">
      <c r="A148" s="24"/>
      <c r="B148" s="25"/>
      <c r="C148" s="25"/>
      <c r="D148" s="25"/>
      <c r="E148" s="25"/>
      <c r="F148" s="25"/>
      <c r="G148" s="25"/>
      <c r="H148" s="27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 spans="1:18" ht="18" x14ac:dyDescent="0.4">
      <c r="A149" s="24"/>
      <c r="B149" s="25"/>
      <c r="C149" s="25"/>
      <c r="D149" s="33">
        <f>D147</f>
        <v>213000</v>
      </c>
      <c r="E149" s="25"/>
      <c r="F149" s="25"/>
      <c r="G149" s="25"/>
      <c r="H149" s="34">
        <f>D149</f>
        <v>213000</v>
      </c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 spans="1:18" ht="18.5" thickBot="1" x14ac:dyDescent="0.45">
      <c r="A150" s="29" t="s">
        <v>156</v>
      </c>
      <c r="B150" s="30" t="s">
        <v>155</v>
      </c>
      <c r="C150" s="30"/>
      <c r="D150" s="40">
        <f>H147</f>
        <v>213000</v>
      </c>
      <c r="E150" s="30"/>
      <c r="F150" s="30"/>
      <c r="G150" s="30"/>
      <c r="H150" s="3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 spans="1:18" ht="18" x14ac:dyDescent="0.4">
      <c r="A151" s="148" t="s">
        <v>195</v>
      </c>
      <c r="B151" s="148"/>
      <c r="C151" s="148"/>
      <c r="D151" s="148"/>
      <c r="E151" s="148"/>
      <c r="F151" s="148"/>
      <c r="G151" s="148"/>
      <c r="H151" s="148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 spans="1:18" ht="18.5" thickBot="1" x14ac:dyDescent="0.45">
      <c r="A152" s="149" t="s">
        <v>158</v>
      </c>
      <c r="B152" s="149"/>
      <c r="C152" s="149"/>
      <c r="D152" s="149"/>
      <c r="E152" s="149"/>
      <c r="F152" s="149"/>
      <c r="G152" s="149"/>
      <c r="H152" s="149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 spans="1:18" ht="18.5" thickBot="1" x14ac:dyDescent="0.45">
      <c r="A153" s="17" t="s">
        <v>2</v>
      </c>
      <c r="B153" s="18" t="s">
        <v>3</v>
      </c>
      <c r="C153" s="18" t="s">
        <v>133</v>
      </c>
      <c r="D153" s="18" t="s">
        <v>134</v>
      </c>
      <c r="E153" s="18" t="s">
        <v>2</v>
      </c>
      <c r="F153" s="18" t="s">
        <v>135</v>
      </c>
      <c r="G153" s="18" t="s">
        <v>133</v>
      </c>
      <c r="H153" s="19" t="s">
        <v>134</v>
      </c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 spans="1:18" ht="18" x14ac:dyDescent="0.4">
      <c r="A154" s="20" t="s">
        <v>107</v>
      </c>
      <c r="B154" s="21" t="s">
        <v>172</v>
      </c>
      <c r="C154" s="21"/>
      <c r="D154" s="22">
        <v>8000</v>
      </c>
      <c r="E154" s="21" t="s">
        <v>153</v>
      </c>
      <c r="F154" s="21" t="s">
        <v>154</v>
      </c>
      <c r="G154" s="21"/>
      <c r="H154" s="32">
        <f>H156</f>
        <v>8000</v>
      </c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 spans="1:18" ht="18" x14ac:dyDescent="0.4">
      <c r="A155" s="24"/>
      <c r="B155" s="25"/>
      <c r="C155" s="25"/>
      <c r="D155" s="25"/>
      <c r="E155" s="25"/>
      <c r="F155" s="25"/>
      <c r="G155" s="25"/>
      <c r="H155" s="27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 spans="1:18" ht="18" x14ac:dyDescent="0.4">
      <c r="A156" s="24"/>
      <c r="B156" s="25"/>
      <c r="C156" s="25"/>
      <c r="D156" s="33">
        <f>D154</f>
        <v>8000</v>
      </c>
      <c r="E156" s="25"/>
      <c r="F156" s="25"/>
      <c r="G156" s="25"/>
      <c r="H156" s="34">
        <f>D156</f>
        <v>8000</v>
      </c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 spans="1:18" ht="18.5" thickBot="1" x14ac:dyDescent="0.45">
      <c r="A157" s="29" t="s">
        <v>156</v>
      </c>
      <c r="B157" s="30" t="s">
        <v>155</v>
      </c>
      <c r="C157" s="30"/>
      <c r="D157" s="40">
        <f>H154</f>
        <v>8000</v>
      </c>
      <c r="E157" s="30"/>
      <c r="F157" s="30"/>
      <c r="G157" s="30"/>
      <c r="H157" s="3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 spans="1:18" ht="18" x14ac:dyDescent="0.4">
      <c r="A158" s="148" t="s">
        <v>197</v>
      </c>
      <c r="B158" s="148"/>
      <c r="C158" s="148"/>
      <c r="D158" s="148"/>
      <c r="E158" s="148"/>
      <c r="F158" s="148"/>
      <c r="G158" s="148"/>
      <c r="H158" s="148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 spans="1:18" ht="18.5" thickBot="1" x14ac:dyDescent="0.45">
      <c r="A159" s="149" t="s">
        <v>158</v>
      </c>
      <c r="B159" s="149"/>
      <c r="C159" s="149"/>
      <c r="D159" s="149"/>
      <c r="E159" s="149"/>
      <c r="F159" s="149"/>
      <c r="G159" s="149"/>
      <c r="H159" s="149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 spans="1:18" ht="18.5" thickBot="1" x14ac:dyDescent="0.45">
      <c r="A160" s="17" t="s">
        <v>2</v>
      </c>
      <c r="B160" s="18" t="s">
        <v>3</v>
      </c>
      <c r="C160" s="18" t="s">
        <v>133</v>
      </c>
      <c r="D160" s="18" t="s">
        <v>134</v>
      </c>
      <c r="E160" s="18" t="s">
        <v>2</v>
      </c>
      <c r="F160" s="18" t="s">
        <v>135</v>
      </c>
      <c r="G160" s="18" t="s">
        <v>133</v>
      </c>
      <c r="H160" s="19" t="s">
        <v>134</v>
      </c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 spans="1:18" ht="18" x14ac:dyDescent="0.4">
      <c r="A161" s="20" t="s">
        <v>109</v>
      </c>
      <c r="B161" s="21" t="s">
        <v>150</v>
      </c>
      <c r="C161" s="21"/>
      <c r="D161" s="22">
        <v>280000</v>
      </c>
      <c r="E161" s="21" t="s">
        <v>115</v>
      </c>
      <c r="F161" s="21" t="s">
        <v>138</v>
      </c>
      <c r="G161" s="21"/>
      <c r="H161" s="32">
        <v>175000</v>
      </c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 spans="1:18" ht="18" x14ac:dyDescent="0.4">
      <c r="A162" s="24"/>
      <c r="B162" s="25"/>
      <c r="C162" s="25"/>
      <c r="D162" s="25"/>
      <c r="E162" s="25" t="s">
        <v>153</v>
      </c>
      <c r="F162" s="25" t="s">
        <v>154</v>
      </c>
      <c r="G162" s="25"/>
      <c r="H162" s="28">
        <f>SUM(D163)-SUM(H161)</f>
        <v>105000</v>
      </c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 spans="1:18" ht="18" x14ac:dyDescent="0.4">
      <c r="A163" s="24"/>
      <c r="B163" s="25"/>
      <c r="C163" s="25"/>
      <c r="D163" s="33">
        <f>D161</f>
        <v>280000</v>
      </c>
      <c r="E163" s="25"/>
      <c r="F163" s="25"/>
      <c r="G163" s="25"/>
      <c r="H163" s="34">
        <f>D163</f>
        <v>280000</v>
      </c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 spans="1:18" ht="18.5" thickBot="1" x14ac:dyDescent="0.45">
      <c r="A164" s="29" t="s">
        <v>156</v>
      </c>
      <c r="B164" s="30" t="s">
        <v>155</v>
      </c>
      <c r="C164" s="30"/>
      <c r="D164" s="40">
        <f>H162</f>
        <v>105000</v>
      </c>
      <c r="E164" s="61"/>
      <c r="F164" s="61"/>
      <c r="G164" s="61"/>
      <c r="H164" s="42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 spans="1:18" ht="18" x14ac:dyDescent="0.4">
      <c r="A165" s="148" t="s">
        <v>198</v>
      </c>
      <c r="B165" s="148"/>
      <c r="C165" s="148"/>
      <c r="D165" s="148"/>
      <c r="E165" s="148"/>
      <c r="F165" s="148"/>
      <c r="G165" s="148"/>
      <c r="H165" s="148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 spans="1:18" ht="18.5" thickBot="1" x14ac:dyDescent="0.45">
      <c r="A166" s="149" t="s">
        <v>158</v>
      </c>
      <c r="B166" s="149"/>
      <c r="C166" s="149"/>
      <c r="D166" s="149"/>
      <c r="E166" s="149"/>
      <c r="F166" s="149"/>
      <c r="G166" s="149"/>
      <c r="H166" s="149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 spans="1:18" ht="18.5" thickBot="1" x14ac:dyDescent="0.45">
      <c r="A167" s="17" t="s">
        <v>2</v>
      </c>
      <c r="B167" s="18" t="s">
        <v>3</v>
      </c>
      <c r="C167" s="18" t="s">
        <v>133</v>
      </c>
      <c r="D167" s="18" t="s">
        <v>134</v>
      </c>
      <c r="E167" s="18" t="s">
        <v>2</v>
      </c>
      <c r="F167" s="18" t="s">
        <v>135</v>
      </c>
      <c r="G167" s="18" t="s">
        <v>133</v>
      </c>
      <c r="H167" s="19" t="s">
        <v>134</v>
      </c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 spans="1:18" ht="18" x14ac:dyDescent="0.4">
      <c r="A168" s="20" t="s">
        <v>153</v>
      </c>
      <c r="B168" s="21" t="s">
        <v>136</v>
      </c>
      <c r="C168" s="21"/>
      <c r="D168" s="22">
        <f>SUM(H170)</f>
        <v>300000</v>
      </c>
      <c r="E168" s="21" t="s">
        <v>112</v>
      </c>
      <c r="F168" s="21" t="s">
        <v>142</v>
      </c>
      <c r="G168" s="21"/>
      <c r="H168" s="32">
        <v>300000</v>
      </c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 spans="1:18" ht="18" x14ac:dyDescent="0.4">
      <c r="A169" s="43"/>
      <c r="B169" s="41"/>
      <c r="C169" s="41"/>
      <c r="D169" s="41"/>
      <c r="E169" s="25"/>
      <c r="F169" s="25"/>
      <c r="G169" s="25"/>
      <c r="H169" s="27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 spans="1:18" ht="18" x14ac:dyDescent="0.4">
      <c r="A170" s="24"/>
      <c r="B170" s="25"/>
      <c r="C170" s="25"/>
      <c r="D170" s="33">
        <f>H170</f>
        <v>300000</v>
      </c>
      <c r="E170" s="25"/>
      <c r="F170" s="25"/>
      <c r="G170" s="25"/>
      <c r="H170" s="34">
        <f>SUM(H168:H168)</f>
        <v>300000</v>
      </c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 spans="1:18" ht="18.5" thickBot="1" x14ac:dyDescent="0.45">
      <c r="A171" s="29"/>
      <c r="B171" s="30"/>
      <c r="C171" s="30"/>
      <c r="D171" s="40"/>
      <c r="E171" s="30" t="s">
        <v>156</v>
      </c>
      <c r="F171" s="30" t="s">
        <v>139</v>
      </c>
      <c r="G171" s="30"/>
      <c r="H171" s="35">
        <f>D168</f>
        <v>300000</v>
      </c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 spans="1:18" ht="18" x14ac:dyDescent="0.4">
      <c r="A172" s="148" t="s">
        <v>199</v>
      </c>
      <c r="B172" s="148"/>
      <c r="C172" s="148"/>
      <c r="D172" s="148"/>
      <c r="E172" s="148"/>
      <c r="F172" s="148"/>
      <c r="G172" s="148"/>
      <c r="H172" s="148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 spans="1:18" ht="18.5" thickBot="1" x14ac:dyDescent="0.45">
      <c r="A173" s="149" t="s">
        <v>158</v>
      </c>
      <c r="B173" s="149"/>
      <c r="C173" s="149"/>
      <c r="D173" s="149"/>
      <c r="E173" s="149"/>
      <c r="F173" s="149"/>
      <c r="G173" s="149"/>
      <c r="H173" s="149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 spans="1:18" ht="18.5" thickBot="1" x14ac:dyDescent="0.45">
      <c r="A174" s="17" t="s">
        <v>2</v>
      </c>
      <c r="B174" s="18" t="s">
        <v>3</v>
      </c>
      <c r="C174" s="18" t="s">
        <v>133</v>
      </c>
      <c r="D174" s="18" t="s">
        <v>134</v>
      </c>
      <c r="E174" s="18" t="s">
        <v>2</v>
      </c>
      <c r="F174" s="18" t="s">
        <v>135</v>
      </c>
      <c r="G174" s="18" t="s">
        <v>133</v>
      </c>
      <c r="H174" s="19" t="s">
        <v>134</v>
      </c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 spans="1:18" ht="18" x14ac:dyDescent="0.4">
      <c r="A175" s="20" t="s">
        <v>118</v>
      </c>
      <c r="B175" s="21" t="s">
        <v>151</v>
      </c>
      <c r="C175" s="21"/>
      <c r="D175" s="22">
        <v>8000</v>
      </c>
      <c r="E175" s="21" t="s">
        <v>153</v>
      </c>
      <c r="F175" s="21" t="s">
        <v>154</v>
      </c>
      <c r="G175" s="21"/>
      <c r="H175" s="32">
        <f>H177</f>
        <v>8000</v>
      </c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 spans="1:18" ht="18" x14ac:dyDescent="0.4">
      <c r="A176" s="24"/>
      <c r="B176" s="25"/>
      <c r="C176" s="25"/>
      <c r="D176" s="25"/>
      <c r="E176" s="25"/>
      <c r="F176" s="25"/>
      <c r="G176" s="25"/>
      <c r="H176" s="27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 spans="1:18" ht="18" x14ac:dyDescent="0.4">
      <c r="A177" s="24"/>
      <c r="B177" s="25"/>
      <c r="C177" s="25"/>
      <c r="D177" s="33">
        <f>D175</f>
        <v>8000</v>
      </c>
      <c r="E177" s="25"/>
      <c r="F177" s="25"/>
      <c r="G177" s="25"/>
      <c r="H177" s="34">
        <f>D177</f>
        <v>8000</v>
      </c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 spans="1:18" ht="18.5" thickBot="1" x14ac:dyDescent="0.45">
      <c r="A178" s="29" t="s">
        <v>156</v>
      </c>
      <c r="B178" s="30" t="s">
        <v>155</v>
      </c>
      <c r="C178" s="30"/>
      <c r="D178" s="40">
        <f>H175</f>
        <v>8000</v>
      </c>
      <c r="E178" s="30"/>
      <c r="F178" s="30"/>
      <c r="G178" s="30"/>
      <c r="H178" s="3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 spans="1:18" ht="18" x14ac:dyDescent="0.4">
      <c r="A179" s="148" t="s">
        <v>200</v>
      </c>
      <c r="B179" s="148"/>
      <c r="C179" s="148"/>
      <c r="D179" s="148"/>
      <c r="E179" s="148"/>
      <c r="F179" s="148"/>
      <c r="G179" s="148"/>
      <c r="H179" s="148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 spans="1:18" ht="18.5" thickBot="1" x14ac:dyDescent="0.45">
      <c r="A180" s="149" t="s">
        <v>158</v>
      </c>
      <c r="B180" s="149"/>
      <c r="C180" s="149"/>
      <c r="D180" s="149"/>
      <c r="E180" s="149"/>
      <c r="F180" s="149"/>
      <c r="G180" s="149"/>
      <c r="H180" s="149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 spans="1:18" ht="18.5" thickBot="1" x14ac:dyDescent="0.45">
      <c r="A181" s="17" t="s">
        <v>2</v>
      </c>
      <c r="B181" s="18" t="s">
        <v>3</v>
      </c>
      <c r="C181" s="18" t="s">
        <v>133</v>
      </c>
      <c r="D181" s="18" t="s">
        <v>134</v>
      </c>
      <c r="E181" s="18" t="s">
        <v>2</v>
      </c>
      <c r="F181" s="18" t="s">
        <v>135</v>
      </c>
      <c r="G181" s="18" t="s">
        <v>133</v>
      </c>
      <c r="H181" s="19" t="s">
        <v>134</v>
      </c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 spans="1:18" ht="18" x14ac:dyDescent="0.4">
      <c r="A182" s="20" t="s">
        <v>153</v>
      </c>
      <c r="B182" s="21" t="s">
        <v>136</v>
      </c>
      <c r="C182" s="21"/>
      <c r="D182" s="22">
        <f>SUM(H184)</f>
        <v>20000</v>
      </c>
      <c r="E182" s="21" t="s">
        <v>121</v>
      </c>
      <c r="F182" s="21" t="s">
        <v>138</v>
      </c>
      <c r="G182" s="21"/>
      <c r="H182" s="32">
        <v>20000</v>
      </c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 spans="1:18" ht="18" x14ac:dyDescent="0.4">
      <c r="A183" s="43"/>
      <c r="B183" s="41"/>
      <c r="C183" s="41"/>
      <c r="D183" s="41"/>
      <c r="E183" s="25"/>
      <c r="F183" s="25"/>
      <c r="G183" s="25"/>
      <c r="H183" s="27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 spans="1:18" ht="18" x14ac:dyDescent="0.4">
      <c r="A184" s="24"/>
      <c r="B184" s="25"/>
      <c r="C184" s="25"/>
      <c r="D184" s="33">
        <f>H184</f>
        <v>20000</v>
      </c>
      <c r="E184" s="25"/>
      <c r="F184" s="25"/>
      <c r="G184" s="25"/>
      <c r="H184" s="34">
        <f>SUM(H182:H182)</f>
        <v>20000</v>
      </c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 spans="1:18" ht="18.5" thickBot="1" x14ac:dyDescent="0.45">
      <c r="A185" s="29"/>
      <c r="B185" s="30"/>
      <c r="C185" s="30"/>
      <c r="D185" s="40"/>
      <c r="E185" s="30" t="s">
        <v>156</v>
      </c>
      <c r="F185" s="30" t="s">
        <v>139</v>
      </c>
      <c r="G185" s="30"/>
      <c r="H185" s="35">
        <f>D182</f>
        <v>20000</v>
      </c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 spans="1:18" ht="18" x14ac:dyDescent="0.4">
      <c r="A186" s="148" t="s">
        <v>201</v>
      </c>
      <c r="B186" s="148"/>
      <c r="C186" s="148"/>
      <c r="D186" s="148"/>
      <c r="E186" s="148"/>
      <c r="F186" s="148"/>
      <c r="G186" s="148"/>
      <c r="H186" s="148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 spans="1:18" ht="18.5" thickBot="1" x14ac:dyDescent="0.45">
      <c r="A187" s="149" t="s">
        <v>158</v>
      </c>
      <c r="B187" s="149"/>
      <c r="C187" s="149"/>
      <c r="D187" s="149"/>
      <c r="E187" s="149"/>
      <c r="F187" s="149"/>
      <c r="G187" s="149"/>
      <c r="H187" s="149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 spans="1:18" ht="18.5" thickBot="1" x14ac:dyDescent="0.45">
      <c r="A188" s="17" t="s">
        <v>2</v>
      </c>
      <c r="B188" s="18" t="s">
        <v>3</v>
      </c>
      <c r="C188" s="18" t="s">
        <v>133</v>
      </c>
      <c r="D188" s="18" t="s">
        <v>134</v>
      </c>
      <c r="E188" s="18" t="s">
        <v>2</v>
      </c>
      <c r="F188" s="18" t="s">
        <v>135</v>
      </c>
      <c r="G188" s="18" t="s">
        <v>133</v>
      </c>
      <c r="H188" s="19" t="s">
        <v>134</v>
      </c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 spans="1:18" ht="18" x14ac:dyDescent="0.4">
      <c r="A189" s="20" t="s">
        <v>124</v>
      </c>
      <c r="B189" s="21" t="s">
        <v>151</v>
      </c>
      <c r="C189" s="21"/>
      <c r="D189" s="22">
        <v>60000</v>
      </c>
      <c r="E189" s="21" t="s">
        <v>153</v>
      </c>
      <c r="F189" s="21" t="s">
        <v>154</v>
      </c>
      <c r="G189" s="21"/>
      <c r="H189" s="32">
        <f>H191</f>
        <v>60000</v>
      </c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 spans="1:18" ht="18" x14ac:dyDescent="0.4">
      <c r="A190" s="24"/>
      <c r="B190" s="25"/>
      <c r="C190" s="25"/>
      <c r="D190" s="25"/>
      <c r="E190" s="25"/>
      <c r="F190" s="25"/>
      <c r="G190" s="25"/>
      <c r="H190" s="27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 spans="1:18" ht="18" x14ac:dyDescent="0.4">
      <c r="A191" s="24"/>
      <c r="B191" s="25"/>
      <c r="C191" s="25"/>
      <c r="D191" s="33">
        <f>D189</f>
        <v>60000</v>
      </c>
      <c r="E191" s="25"/>
      <c r="F191" s="25"/>
      <c r="G191" s="25"/>
      <c r="H191" s="34">
        <f>D191</f>
        <v>60000</v>
      </c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 spans="1:18" ht="18.5" thickBot="1" x14ac:dyDescent="0.45">
      <c r="A192" s="29" t="s">
        <v>156</v>
      </c>
      <c r="B192" s="30" t="s">
        <v>155</v>
      </c>
      <c r="C192" s="30"/>
      <c r="D192" s="40">
        <f>H189</f>
        <v>60000</v>
      </c>
      <c r="E192" s="30"/>
      <c r="F192" s="30"/>
      <c r="G192" s="30"/>
      <c r="H192" s="3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 spans="1:18" ht="18" x14ac:dyDescent="0.4">
      <c r="A193" s="148" t="s">
        <v>202</v>
      </c>
      <c r="B193" s="148"/>
      <c r="C193" s="148"/>
      <c r="D193" s="148"/>
      <c r="E193" s="148"/>
      <c r="F193" s="148"/>
      <c r="G193" s="148"/>
      <c r="H193" s="148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 spans="1:18" ht="18.5" thickBot="1" x14ac:dyDescent="0.45">
      <c r="A194" s="149" t="s">
        <v>158</v>
      </c>
      <c r="B194" s="149"/>
      <c r="C194" s="149"/>
      <c r="D194" s="149"/>
      <c r="E194" s="149"/>
      <c r="F194" s="149"/>
      <c r="G194" s="149"/>
      <c r="H194" s="149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 spans="1:18" ht="18.5" thickBot="1" x14ac:dyDescent="0.45">
      <c r="A195" s="17" t="s">
        <v>2</v>
      </c>
      <c r="B195" s="18" t="s">
        <v>3</v>
      </c>
      <c r="C195" s="18" t="s">
        <v>133</v>
      </c>
      <c r="D195" s="18" t="s">
        <v>134</v>
      </c>
      <c r="E195" s="18" t="s">
        <v>2</v>
      </c>
      <c r="F195" s="18" t="s">
        <v>135</v>
      </c>
      <c r="G195" s="18" t="s">
        <v>133</v>
      </c>
      <c r="H195" s="19" t="s">
        <v>134</v>
      </c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 spans="1:18" ht="18" x14ac:dyDescent="0.4">
      <c r="A196" s="20" t="s">
        <v>127</v>
      </c>
      <c r="B196" s="21" t="s">
        <v>151</v>
      </c>
      <c r="C196" s="21"/>
      <c r="D196" s="22">
        <v>12000</v>
      </c>
      <c r="E196" s="21" t="s">
        <v>153</v>
      </c>
      <c r="F196" s="21" t="s">
        <v>154</v>
      </c>
      <c r="G196" s="21"/>
      <c r="H196" s="32">
        <f>H198</f>
        <v>12000</v>
      </c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 spans="1:18" ht="18" x14ac:dyDescent="0.4">
      <c r="A197" s="24"/>
      <c r="B197" s="25"/>
      <c r="C197" s="25"/>
      <c r="D197" s="25"/>
      <c r="E197" s="25"/>
      <c r="F197" s="25"/>
      <c r="G197" s="25"/>
      <c r="H197" s="27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 spans="1:18" ht="18" x14ac:dyDescent="0.4">
      <c r="A198" s="24"/>
      <c r="B198" s="25"/>
      <c r="C198" s="25"/>
      <c r="D198" s="33">
        <f>D196</f>
        <v>12000</v>
      </c>
      <c r="E198" s="25"/>
      <c r="F198" s="25"/>
      <c r="G198" s="25"/>
      <c r="H198" s="34">
        <f>D198</f>
        <v>12000</v>
      </c>
      <c r="I198" s="1"/>
      <c r="J198" s="1"/>
      <c r="K198" s="1"/>
      <c r="L198" s="1"/>
      <c r="M198" s="1"/>
      <c r="N198" s="1"/>
      <c r="O198" s="1"/>
      <c r="P198" s="1"/>
      <c r="Q198" s="1"/>
      <c r="R198" s="1"/>
    </row>
    <row r="199" spans="1:18" ht="18.5" thickBot="1" x14ac:dyDescent="0.45">
      <c r="A199" s="29" t="s">
        <v>156</v>
      </c>
      <c r="B199" s="30" t="s">
        <v>155</v>
      </c>
      <c r="C199" s="30"/>
      <c r="D199" s="40">
        <f>H196</f>
        <v>12000</v>
      </c>
      <c r="E199" s="30"/>
      <c r="F199" s="30"/>
      <c r="G199" s="30"/>
      <c r="H199" s="31"/>
      <c r="I199" s="1"/>
      <c r="J199" s="1"/>
      <c r="K199" s="1"/>
      <c r="L199" s="1"/>
      <c r="M199" s="1"/>
      <c r="N199" s="1"/>
      <c r="O199" s="1"/>
      <c r="P199" s="1"/>
      <c r="Q199" s="1"/>
      <c r="R199" s="1"/>
    </row>
    <row r="200" spans="1:18" ht="18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</row>
    <row r="201" spans="1:18" ht="18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</row>
    <row r="202" spans="1:18" ht="18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</row>
    <row r="203" spans="1:18" ht="18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</row>
    <row r="204" spans="1:18" ht="18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</row>
    <row r="205" spans="1:18" ht="18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</row>
    <row r="206" spans="1:18" ht="18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</row>
    <row r="207" spans="1:18" ht="18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</row>
    <row r="208" spans="1:18" ht="18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</row>
    <row r="209" spans="1:18" ht="18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</row>
    <row r="210" spans="1:18" ht="18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</row>
    <row r="211" spans="1:18" ht="18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</row>
    <row r="212" spans="1:18" ht="18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</row>
    <row r="213" spans="1:18" ht="18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</row>
    <row r="214" spans="1:18" ht="18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</row>
    <row r="215" spans="1:18" ht="18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</row>
    <row r="216" spans="1:18" ht="18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</row>
    <row r="217" spans="1:18" ht="18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</row>
    <row r="218" spans="1:18" ht="18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</row>
    <row r="219" spans="1:18" ht="18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</row>
    <row r="220" spans="1:18" ht="18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</row>
    <row r="221" spans="1:18" ht="18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</row>
    <row r="222" spans="1:18" ht="18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</row>
    <row r="223" spans="1:18" ht="18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</row>
    <row r="224" spans="1:18" ht="18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 spans="1:18" ht="18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</row>
    <row r="226" spans="1:18" ht="18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</row>
    <row r="227" spans="1:18" ht="18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 spans="1:18" ht="18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</row>
    <row r="229" spans="1:18" ht="18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 spans="1:18" ht="18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</row>
    <row r="231" spans="1:18" ht="18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 spans="1:18" ht="18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</row>
    <row r="233" spans="1:18" ht="18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</row>
    <row r="234" spans="1:18" ht="18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</row>
    <row r="235" spans="1:18" ht="18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</row>
    <row r="236" spans="1:18" ht="18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</row>
    <row r="237" spans="1:18" ht="18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</row>
    <row r="238" spans="1:18" ht="18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</row>
    <row r="239" spans="1:18" ht="18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</row>
    <row r="240" spans="1:18" ht="18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</row>
    <row r="241" spans="1:18" ht="18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</row>
    <row r="242" spans="1:18" ht="18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</row>
    <row r="243" spans="1:18" ht="18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</row>
    <row r="244" spans="1:18" ht="18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</row>
    <row r="245" spans="1:18" ht="18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</row>
    <row r="246" spans="1:18" ht="18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</row>
    <row r="247" spans="1:18" ht="18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</row>
    <row r="248" spans="1:18" ht="18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</row>
    <row r="249" spans="1:18" ht="18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</row>
    <row r="250" spans="1:18" ht="18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</row>
    <row r="251" spans="1:18" ht="18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</row>
    <row r="252" spans="1:18" ht="18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</row>
    <row r="253" spans="1:18" ht="18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</row>
    <row r="254" spans="1:18" ht="18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</row>
    <row r="255" spans="1:18" ht="18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</row>
    <row r="256" spans="1:18" ht="18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</row>
    <row r="257" spans="1:18" ht="18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</row>
    <row r="258" spans="1:18" ht="18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</row>
    <row r="259" spans="1:18" ht="18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</row>
    <row r="260" spans="1:18" ht="18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</row>
    <row r="261" spans="1:18" ht="18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</row>
    <row r="262" spans="1:18" ht="18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</row>
    <row r="263" spans="1:18" ht="18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</row>
    <row r="264" spans="1:18" ht="18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</row>
    <row r="265" spans="1:18" ht="18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</row>
    <row r="266" spans="1:18" ht="18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</row>
    <row r="267" spans="1:18" ht="18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</row>
    <row r="268" spans="1:18" ht="18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</row>
    <row r="269" spans="1:18" ht="18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</row>
    <row r="270" spans="1:18" ht="18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</row>
    <row r="271" spans="1:18" ht="18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</row>
    <row r="272" spans="1:18" ht="18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</row>
    <row r="273" spans="1:18" ht="18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</row>
    <row r="274" spans="1:18" ht="18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</row>
    <row r="275" spans="1:18" ht="18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</row>
    <row r="276" spans="1:18" ht="18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</row>
    <row r="277" spans="1:18" ht="18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</row>
    <row r="278" spans="1:18" ht="18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</row>
    <row r="279" spans="1:18" ht="18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</row>
    <row r="280" spans="1:18" ht="18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</row>
    <row r="281" spans="1:18" ht="18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</row>
    <row r="282" spans="1:18" ht="18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</row>
    <row r="283" spans="1:18" ht="18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</row>
    <row r="284" spans="1:18" ht="18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</row>
    <row r="285" spans="1:18" ht="18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</row>
    <row r="286" spans="1:18" ht="18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</row>
    <row r="287" spans="1:18" ht="18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</row>
    <row r="288" spans="1:18" ht="18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</row>
    <row r="289" spans="1:18" ht="18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</row>
    <row r="290" spans="1:18" ht="18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</row>
    <row r="291" spans="1:18" ht="18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</row>
    <row r="292" spans="1:18" ht="18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</row>
    <row r="293" spans="1:18" ht="18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</row>
    <row r="294" spans="1:18" ht="18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</row>
    <row r="295" spans="1:18" ht="18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</row>
    <row r="296" spans="1:18" ht="18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</row>
    <row r="297" spans="1:18" ht="18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</row>
    <row r="298" spans="1:18" ht="18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</row>
    <row r="299" spans="1:18" ht="18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</row>
    <row r="300" spans="1:18" ht="18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</row>
    <row r="301" spans="1:18" ht="18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</row>
    <row r="302" spans="1:18" ht="18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</row>
    <row r="303" spans="1:18" ht="18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</row>
    <row r="304" spans="1:18" ht="18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</row>
    <row r="305" spans="1:18" ht="18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</row>
    <row r="306" spans="1:18" ht="18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</row>
    <row r="307" spans="1:18" ht="18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</row>
    <row r="308" spans="1:18" ht="18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</row>
    <row r="309" spans="1:18" ht="18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</row>
    <row r="310" spans="1:18" ht="18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</row>
    <row r="311" spans="1:18" ht="18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</row>
    <row r="312" spans="1:18" ht="18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</row>
    <row r="313" spans="1:18" ht="18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</row>
    <row r="314" spans="1:18" ht="18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</row>
    <row r="315" spans="1:18" ht="18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</row>
    <row r="316" spans="1:18" ht="18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</row>
    <row r="317" spans="1:18" ht="18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</row>
    <row r="318" spans="1:18" ht="18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</row>
    <row r="319" spans="1:18" ht="18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</row>
    <row r="320" spans="1:18" ht="18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</row>
    <row r="321" spans="1:18" ht="18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 spans="1:18" ht="18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 spans="1:18" ht="18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 spans="1:18" ht="18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 spans="1:18" ht="18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 spans="1:18" ht="18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 spans="1:18" ht="18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 spans="1:18" ht="18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 spans="1:18" ht="18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 spans="1:18" ht="18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 spans="1:18" ht="18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 spans="1:18" ht="18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 spans="1:18" ht="18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 spans="1:18" ht="18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 spans="1:18" ht="18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 spans="1:18" ht="18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 spans="1:18" ht="18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 spans="1:18" ht="18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 spans="1:18" ht="18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 spans="1:18" ht="18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 spans="1:18" ht="18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 spans="1:18" ht="18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 spans="1:18" ht="18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 spans="1:18" ht="18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 spans="1:18" ht="18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 spans="1:18" ht="18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 spans="1:18" ht="18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 spans="1:18" ht="18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 spans="1:18" ht="18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  <row r="350" spans="1:18" ht="18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</row>
    <row r="351" spans="1:18" ht="18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</row>
    <row r="352" spans="1:18" ht="18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</row>
    <row r="353" spans="1:18" ht="18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</row>
    <row r="354" spans="1:18" ht="18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</row>
    <row r="355" spans="1:18" ht="18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</row>
    <row r="356" spans="1:18" ht="18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</row>
    <row r="357" spans="1:18" ht="18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</row>
    <row r="358" spans="1:18" ht="18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</row>
    <row r="359" spans="1:18" ht="18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</row>
    <row r="360" spans="1:18" ht="18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</row>
    <row r="361" spans="1:18" ht="18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</row>
    <row r="362" spans="1:18" ht="18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</row>
    <row r="363" spans="1:18" ht="18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</row>
    <row r="364" spans="1:18" ht="18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</row>
    <row r="365" spans="1:18" ht="18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</row>
    <row r="366" spans="1:18" ht="18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</row>
    <row r="367" spans="1:18" ht="18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</row>
    <row r="368" spans="1:18" ht="18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</row>
    <row r="369" spans="1:18" ht="18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</row>
    <row r="370" spans="1:18" ht="18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</row>
    <row r="371" spans="1:18" ht="18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</row>
    <row r="372" spans="1:18" ht="18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</row>
    <row r="373" spans="1:18" ht="18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</row>
    <row r="374" spans="1:18" ht="18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</row>
    <row r="375" spans="1:18" ht="18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</row>
    <row r="376" spans="1:18" ht="18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</row>
    <row r="377" spans="1:18" ht="18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</row>
    <row r="378" spans="1:18" ht="18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</row>
    <row r="379" spans="1:18" ht="18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</row>
    <row r="380" spans="1:18" ht="18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</row>
    <row r="381" spans="1:18" ht="18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</row>
    <row r="382" spans="1:18" ht="18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</row>
    <row r="383" spans="1:18" ht="18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</row>
    <row r="384" spans="1:18" ht="18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</row>
    <row r="385" spans="1:18" ht="18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</row>
    <row r="386" spans="1:18" ht="18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</row>
    <row r="387" spans="1:18" ht="18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</row>
    <row r="388" spans="1:18" ht="18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</row>
    <row r="389" spans="1:18" ht="18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</row>
    <row r="390" spans="1:18" ht="18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</row>
    <row r="391" spans="1:18" ht="18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</row>
    <row r="392" spans="1:18" ht="18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</row>
    <row r="393" spans="1:18" ht="18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</row>
    <row r="394" spans="1:18" ht="18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</row>
    <row r="395" spans="1:18" ht="18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</row>
    <row r="396" spans="1:18" ht="18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</row>
    <row r="397" spans="1:18" ht="18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</row>
    <row r="398" spans="1:18" ht="18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</row>
    <row r="399" spans="1:18" ht="18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</row>
    <row r="400" spans="1:18" ht="18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</row>
    <row r="401" spans="1:18" ht="18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</row>
    <row r="402" spans="1:18" ht="18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</row>
    <row r="403" spans="1:18" ht="18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</row>
    <row r="404" spans="1:18" ht="18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</row>
    <row r="405" spans="1:18" ht="18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</row>
    <row r="406" spans="1:18" ht="18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</row>
    <row r="407" spans="1:18" ht="18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</row>
    <row r="408" spans="1:18" ht="18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</row>
    <row r="409" spans="1:18" ht="18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</row>
    <row r="410" spans="1:18" ht="18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</row>
    <row r="411" spans="1:18" ht="18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</row>
    <row r="412" spans="1:18" ht="18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</row>
    <row r="413" spans="1:18" ht="18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</row>
    <row r="414" spans="1:18" ht="18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</row>
    <row r="415" spans="1:18" ht="18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</row>
    <row r="416" spans="1:18" ht="18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</row>
    <row r="417" spans="1:18" ht="18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</row>
    <row r="418" spans="1:18" ht="18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</row>
    <row r="419" spans="1:18" ht="18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</row>
    <row r="420" spans="1:18" ht="18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</row>
    <row r="421" spans="1:18" ht="18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</row>
    <row r="422" spans="1:18" ht="18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</row>
    <row r="423" spans="1:18" ht="18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</row>
    <row r="424" spans="1:18" ht="18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</row>
    <row r="425" spans="1:18" ht="18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</row>
    <row r="426" spans="1:18" ht="18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</row>
    <row r="427" spans="1:18" ht="18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</row>
    <row r="428" spans="1:18" ht="18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</row>
    <row r="429" spans="1:18" ht="18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</row>
    <row r="430" spans="1:18" ht="18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</row>
    <row r="431" spans="1:18" ht="18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</row>
    <row r="432" spans="1:18" ht="18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</row>
    <row r="433" spans="1:18" ht="18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</row>
    <row r="434" spans="1:18" ht="18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</row>
    <row r="435" spans="1:18" ht="18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</row>
    <row r="436" spans="1:18" ht="18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</row>
    <row r="437" spans="1:18" ht="18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</row>
    <row r="438" spans="1:18" ht="18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</row>
    <row r="439" spans="1:18" ht="18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</row>
    <row r="440" spans="1:18" ht="18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</row>
    <row r="441" spans="1:18" ht="18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</row>
    <row r="442" spans="1:18" ht="18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</row>
    <row r="443" spans="1:18" ht="18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</row>
    <row r="444" spans="1:18" ht="18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</row>
    <row r="445" spans="1:18" ht="18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</row>
    <row r="446" spans="1:18" ht="18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</row>
    <row r="447" spans="1:18" ht="18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</row>
    <row r="448" spans="1:18" ht="18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</row>
    <row r="449" spans="1:18" ht="18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</row>
    <row r="450" spans="1:18" ht="18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</row>
    <row r="451" spans="1:18" ht="18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</row>
    <row r="452" spans="1:18" ht="18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</row>
    <row r="453" spans="1:18" ht="18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</row>
    <row r="454" spans="1:18" ht="18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</row>
    <row r="455" spans="1:18" ht="18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</row>
    <row r="456" spans="1:18" ht="18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</row>
    <row r="457" spans="1:18" ht="18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</row>
    <row r="458" spans="1:18" ht="18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</row>
    <row r="459" spans="1:18" ht="18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</row>
    <row r="460" spans="1:18" ht="18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</row>
    <row r="461" spans="1:18" ht="18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</row>
    <row r="462" spans="1:18" ht="18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</row>
    <row r="463" spans="1:18" ht="18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</row>
    <row r="464" spans="1:18" ht="18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</row>
    <row r="465" spans="1:18" ht="18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</row>
    <row r="466" spans="1:18" ht="18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</row>
    <row r="467" spans="1:18" ht="18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</row>
    <row r="468" spans="1:18" ht="18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</row>
    <row r="469" spans="1:18" ht="18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</row>
    <row r="470" spans="1:18" ht="18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</row>
    <row r="471" spans="1:18" ht="18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</row>
    <row r="472" spans="1:18" ht="18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</row>
    <row r="473" spans="1:18" ht="18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</row>
    <row r="474" spans="1:18" ht="18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</row>
    <row r="475" spans="1:18" ht="18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</row>
    <row r="476" spans="1:18" ht="18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</row>
    <row r="477" spans="1:18" ht="18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</row>
    <row r="478" spans="1:18" ht="18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</row>
    <row r="479" spans="1:18" ht="18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</row>
    <row r="480" spans="1:18" ht="18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</row>
    <row r="481" spans="1:18" ht="18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</row>
    <row r="482" spans="1:18" ht="18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</row>
    <row r="483" spans="1:18" ht="18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</row>
    <row r="484" spans="1:18" ht="18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</row>
    <row r="485" spans="1:18" ht="18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</row>
    <row r="486" spans="1:18" ht="18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</row>
    <row r="487" spans="1:18" ht="18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</row>
    <row r="488" spans="1:18" ht="18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</row>
    <row r="489" spans="1:18" ht="18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</row>
    <row r="490" spans="1:18" ht="18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</row>
    <row r="491" spans="1:18" ht="18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</row>
    <row r="492" spans="1:18" ht="18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</row>
    <row r="493" spans="1:18" ht="18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</row>
    <row r="494" spans="1:18" ht="18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</row>
    <row r="495" spans="1:18" ht="18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</row>
    <row r="496" spans="1:18" ht="18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</row>
    <row r="497" spans="1:18" ht="18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</row>
    <row r="498" spans="1:18" ht="18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</row>
    <row r="499" spans="1:18" ht="18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</row>
    <row r="500" spans="1:18" ht="18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</row>
    <row r="501" spans="1:18" ht="18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</row>
    <row r="502" spans="1:18" ht="18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</row>
    <row r="503" spans="1:18" ht="18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</row>
    <row r="504" spans="1:18" ht="18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</row>
    <row r="505" spans="1:18" ht="18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</row>
    <row r="506" spans="1:18" ht="18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</row>
    <row r="507" spans="1:18" ht="18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</row>
    <row r="508" spans="1:18" ht="18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</row>
    <row r="509" spans="1:18" ht="18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</row>
    <row r="510" spans="1:18" ht="18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</row>
    <row r="511" spans="1:18" ht="18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</row>
    <row r="512" spans="1:18" ht="18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</row>
    <row r="513" spans="1:18" ht="18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</row>
    <row r="514" spans="1:18" ht="18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</row>
    <row r="515" spans="1:18" ht="18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</row>
    <row r="516" spans="1:18" ht="18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</row>
    <row r="517" spans="1:18" ht="18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</row>
    <row r="518" spans="1:18" ht="18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</row>
    <row r="519" spans="1:18" ht="18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</row>
    <row r="520" spans="1:18" ht="18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</row>
    <row r="521" spans="1:18" ht="18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</row>
    <row r="522" spans="1:18" ht="18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</row>
    <row r="523" spans="1:18" ht="18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</row>
    <row r="524" spans="1:18" ht="18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</row>
    <row r="525" spans="1:18" ht="18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</row>
    <row r="526" spans="1:18" ht="18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</row>
    <row r="527" spans="1:18" ht="18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</row>
    <row r="528" spans="1:18" ht="18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</row>
    <row r="529" spans="1:18" ht="18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</row>
    <row r="530" spans="1:18" ht="18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</row>
    <row r="531" spans="1:18" ht="18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</row>
    <row r="532" spans="1:18" ht="18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</row>
    <row r="533" spans="1:18" ht="18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</row>
    <row r="534" spans="1:18" ht="18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</row>
    <row r="535" spans="1:18" ht="18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</row>
    <row r="536" spans="1:18" ht="18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</row>
    <row r="537" spans="1:18" ht="18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</row>
    <row r="538" spans="1:18" ht="18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</row>
    <row r="539" spans="1:18" ht="18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</row>
    <row r="540" spans="1:18" ht="18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</row>
    <row r="541" spans="1:18" ht="18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</row>
    <row r="542" spans="1:18" ht="18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</row>
    <row r="543" spans="1:18" ht="18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</row>
    <row r="544" spans="1:18" ht="18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</row>
    <row r="545" spans="1:18" ht="18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</row>
    <row r="546" spans="1:18" ht="18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</row>
    <row r="547" spans="1:18" ht="18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</row>
    <row r="548" spans="1:18" ht="18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</row>
    <row r="549" spans="1:18" ht="18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</row>
    <row r="550" spans="1:18" ht="18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</row>
    <row r="551" spans="1:18" ht="18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</row>
    <row r="552" spans="1:18" ht="18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</row>
    <row r="553" spans="1:18" ht="18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</row>
    <row r="554" spans="1:18" ht="18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</row>
    <row r="555" spans="1:18" ht="18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</row>
    <row r="556" spans="1:18" ht="18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</row>
    <row r="557" spans="1:18" ht="18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</row>
    <row r="558" spans="1:18" ht="18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</row>
    <row r="559" spans="1:18" ht="18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</row>
    <row r="560" spans="1:18" ht="18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</row>
    <row r="561" spans="1:18" ht="18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</row>
    <row r="562" spans="1:18" ht="18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</row>
    <row r="563" spans="1:18" ht="18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</row>
    <row r="564" spans="1:18" ht="18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</row>
    <row r="565" spans="1:18" ht="18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</row>
    <row r="566" spans="1:18" ht="18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</row>
    <row r="567" spans="1:18" ht="18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</row>
    <row r="568" spans="1:18" ht="18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</row>
    <row r="569" spans="1:18" ht="18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</row>
    <row r="570" spans="1:18" ht="18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</row>
    <row r="571" spans="1:18" ht="18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</row>
    <row r="572" spans="1:18" ht="18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</row>
    <row r="573" spans="1:18" ht="18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</row>
    <row r="574" spans="1:18" ht="18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</row>
    <row r="575" spans="1:18" ht="18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</row>
    <row r="576" spans="1:18" ht="18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</row>
    <row r="577" spans="1:18" ht="18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</row>
    <row r="578" spans="1:18" ht="18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</row>
    <row r="579" spans="1:18" ht="18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</row>
    <row r="580" spans="1:18" ht="18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</row>
    <row r="581" spans="1:18" ht="18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</row>
    <row r="582" spans="1:18" ht="18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</row>
    <row r="583" spans="1:18" ht="18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</row>
    <row r="584" spans="1:18" ht="18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</row>
    <row r="585" spans="1:18" ht="18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</row>
    <row r="586" spans="1:18" ht="18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</row>
    <row r="587" spans="1:18" ht="18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</row>
    <row r="588" spans="1:18" ht="18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</row>
    <row r="589" spans="1:18" ht="18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</row>
    <row r="590" spans="1:18" ht="18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</row>
    <row r="591" spans="1:18" ht="18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</row>
    <row r="592" spans="1:18" ht="18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</row>
    <row r="593" spans="1:18" ht="18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</row>
    <row r="594" spans="1:18" ht="18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</row>
    <row r="595" spans="1:18" ht="18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</row>
    <row r="596" spans="1:18" ht="18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</row>
    <row r="597" spans="1:18" ht="18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</row>
    <row r="598" spans="1:18" ht="18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</row>
    <row r="599" spans="1:18" ht="18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</row>
    <row r="600" spans="1:18" ht="18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</row>
    <row r="601" spans="1:18" ht="18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</row>
    <row r="602" spans="1:18" ht="18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</row>
    <row r="603" spans="1:18" ht="18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</row>
    <row r="604" spans="1:18" ht="18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</row>
    <row r="605" spans="1:18" ht="18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</row>
    <row r="606" spans="1:18" ht="18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</row>
    <row r="607" spans="1:18" ht="18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</row>
    <row r="608" spans="1:18" ht="18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</row>
    <row r="609" spans="1:18" ht="18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</row>
    <row r="610" spans="1:18" ht="18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</row>
    <row r="611" spans="1:18" ht="18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</row>
    <row r="612" spans="1:18" ht="18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</row>
    <row r="613" spans="1:18" ht="18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</row>
    <row r="614" spans="1:18" ht="18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</row>
    <row r="615" spans="1:18" ht="18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</row>
    <row r="616" spans="1:18" ht="18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</row>
    <row r="617" spans="1:18" ht="18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</row>
    <row r="618" spans="1:18" ht="18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</row>
    <row r="619" spans="1:18" ht="18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</row>
    <row r="620" spans="1:18" ht="18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</row>
    <row r="621" spans="1:18" ht="18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</row>
    <row r="622" spans="1:18" ht="18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</row>
    <row r="623" spans="1:18" ht="18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</row>
    <row r="624" spans="1:18" ht="18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</row>
    <row r="625" spans="1:18" ht="18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</row>
    <row r="626" spans="1:18" ht="18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</row>
    <row r="627" spans="1:18" ht="18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</row>
    <row r="628" spans="1:18" ht="18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</row>
    <row r="629" spans="1:18" ht="18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</row>
    <row r="630" spans="1:18" ht="18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</row>
    <row r="631" spans="1:18" ht="18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</row>
    <row r="632" spans="1:18" ht="18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</row>
    <row r="633" spans="1:18" ht="18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</row>
    <row r="634" spans="1:18" ht="18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</row>
    <row r="635" spans="1:18" ht="18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</row>
    <row r="636" spans="1:18" ht="18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</row>
    <row r="637" spans="1:18" ht="18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</row>
    <row r="638" spans="1:18" ht="18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</row>
    <row r="639" spans="1:18" ht="18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</row>
    <row r="640" spans="1:18" ht="18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</row>
    <row r="641" spans="1:18" ht="18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</row>
    <row r="642" spans="1:18" ht="18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</row>
    <row r="643" spans="1:18" ht="18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</row>
    <row r="644" spans="1:18" ht="18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</row>
    <row r="645" spans="1:18" ht="18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</row>
    <row r="646" spans="1:18" ht="18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</row>
    <row r="647" spans="1:18" ht="18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</row>
    <row r="648" spans="1:18" ht="18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</row>
    <row r="649" spans="1:18" ht="18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</row>
    <row r="650" spans="1:18" ht="18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</row>
    <row r="651" spans="1:18" ht="18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</row>
    <row r="652" spans="1:18" ht="18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</row>
    <row r="653" spans="1:18" ht="18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</row>
    <row r="654" spans="1:18" ht="18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</row>
    <row r="655" spans="1:18" ht="18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</row>
    <row r="656" spans="1:18" ht="18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</row>
    <row r="657" spans="1:18" ht="18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</row>
    <row r="658" spans="1:18" ht="18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</row>
    <row r="659" spans="1:18" ht="18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</row>
    <row r="660" spans="1:18" ht="18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</row>
    <row r="661" spans="1:18" ht="18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</row>
    <row r="662" spans="1:18" ht="18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</row>
    <row r="663" spans="1:18" ht="18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</row>
    <row r="664" spans="1:18" ht="18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</row>
    <row r="665" spans="1:18" ht="18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</row>
    <row r="666" spans="1:18" ht="18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</row>
    <row r="667" spans="1:18" ht="18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</row>
    <row r="668" spans="1:18" ht="18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</row>
    <row r="669" spans="1:18" ht="18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</row>
    <row r="670" spans="1:18" ht="18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</row>
    <row r="671" spans="1:18" ht="18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</row>
    <row r="672" spans="1:18" ht="18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</row>
    <row r="673" spans="1:18" ht="18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</row>
    <row r="674" spans="1:18" ht="18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</row>
    <row r="675" spans="1:18" ht="18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</row>
    <row r="676" spans="1:18" ht="18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</row>
    <row r="677" spans="1:18" ht="18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</row>
    <row r="678" spans="1:18" ht="18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</row>
    <row r="679" spans="1:18" ht="18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</row>
    <row r="680" spans="1:18" ht="18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</row>
    <row r="681" spans="1:18" ht="18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</row>
    <row r="682" spans="1:18" ht="18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</row>
    <row r="683" spans="1:18" ht="18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</row>
    <row r="684" spans="1:18" ht="18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</row>
    <row r="685" spans="1:18" ht="18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</row>
    <row r="686" spans="1:18" ht="18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</row>
    <row r="687" spans="1:18" ht="18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</row>
    <row r="688" spans="1:18" ht="18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</row>
    <row r="689" spans="1:18" ht="18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</row>
    <row r="690" spans="1:18" ht="18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</row>
    <row r="691" spans="1:18" ht="18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</row>
    <row r="692" spans="1:18" ht="18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</row>
    <row r="693" spans="1:18" ht="18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</row>
    <row r="694" spans="1:18" ht="18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</row>
    <row r="695" spans="1:18" ht="18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</row>
    <row r="696" spans="1:18" ht="18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</row>
    <row r="697" spans="1:18" ht="18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</row>
    <row r="698" spans="1:18" ht="18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</row>
    <row r="699" spans="1:18" ht="18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</row>
    <row r="700" spans="1:18" ht="18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</row>
    <row r="701" spans="1:18" ht="18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</row>
    <row r="702" spans="1:18" ht="18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</row>
    <row r="703" spans="1:18" ht="18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</row>
    <row r="704" spans="1:18" ht="18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</row>
    <row r="705" spans="1:18" ht="18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</row>
    <row r="706" spans="1:18" ht="18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</row>
    <row r="707" spans="1:18" ht="18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</row>
    <row r="708" spans="1:18" ht="18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</row>
    <row r="709" spans="1:18" ht="18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</row>
    <row r="710" spans="1:18" ht="18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</row>
    <row r="711" spans="1:18" ht="18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</row>
    <row r="712" spans="1:18" ht="18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</row>
    <row r="713" spans="1:18" ht="18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</row>
    <row r="714" spans="1:18" ht="18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</row>
    <row r="715" spans="1:18" ht="18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</row>
    <row r="716" spans="1:18" ht="18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</row>
    <row r="717" spans="1:18" ht="18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</row>
    <row r="718" spans="1:18" ht="18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</row>
    <row r="719" spans="1:18" ht="18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</row>
    <row r="720" spans="1:18" ht="18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</row>
    <row r="721" spans="1:18" ht="18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</row>
    <row r="722" spans="1:18" ht="18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</row>
    <row r="723" spans="1:18" ht="18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</row>
    <row r="724" spans="1:18" ht="18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</row>
    <row r="725" spans="1:18" ht="18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</row>
    <row r="726" spans="1:18" ht="18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</row>
    <row r="727" spans="1:18" ht="18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</row>
    <row r="728" spans="1:18" ht="18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</row>
    <row r="729" spans="1:18" ht="18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</row>
    <row r="730" spans="1:18" ht="18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</row>
    <row r="731" spans="1:18" ht="18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</row>
    <row r="732" spans="1:18" ht="18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</row>
    <row r="733" spans="1:18" ht="18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</row>
    <row r="734" spans="1:18" ht="18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</row>
    <row r="735" spans="1:18" ht="18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</row>
    <row r="736" spans="1:18" ht="18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</row>
    <row r="737" spans="1:18" ht="18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</row>
    <row r="738" spans="1:18" ht="18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</row>
    <row r="739" spans="1:18" ht="18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</row>
    <row r="740" spans="1:18" ht="18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</row>
    <row r="741" spans="1:18" ht="18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</row>
    <row r="742" spans="1:18" ht="18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</row>
    <row r="743" spans="1:18" ht="18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</row>
    <row r="744" spans="1:18" ht="18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</row>
    <row r="745" spans="1:18" ht="18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</row>
    <row r="746" spans="1:18" ht="18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</row>
    <row r="747" spans="1:18" ht="18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</row>
    <row r="748" spans="1:18" ht="18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</row>
    <row r="749" spans="1:18" ht="18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</row>
    <row r="750" spans="1:18" ht="18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</row>
    <row r="751" spans="1:18" ht="18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</row>
    <row r="752" spans="1:18" ht="18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</row>
    <row r="753" spans="1:18" ht="18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</row>
    <row r="754" spans="1:18" ht="18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</row>
    <row r="755" spans="1:18" ht="18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</row>
    <row r="756" spans="1:18" ht="18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</row>
    <row r="757" spans="1:18" ht="18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</row>
    <row r="758" spans="1:18" ht="18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</row>
    <row r="759" spans="1:18" ht="18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</row>
    <row r="760" spans="1:18" ht="18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</row>
    <row r="761" spans="1:18" ht="18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</row>
    <row r="762" spans="1:18" ht="18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</row>
    <row r="763" spans="1:18" ht="18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</row>
    <row r="764" spans="1:18" ht="18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</row>
    <row r="765" spans="1:18" ht="18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</row>
    <row r="766" spans="1:18" ht="18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</row>
    <row r="767" spans="1:18" ht="18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</row>
    <row r="768" spans="1:18" ht="18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</row>
    <row r="769" spans="1:18" ht="18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</row>
    <row r="770" spans="1:18" ht="18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</row>
    <row r="771" spans="1:18" ht="18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</row>
    <row r="772" spans="1:18" ht="18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</row>
    <row r="773" spans="1:18" ht="18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</row>
    <row r="774" spans="1:18" ht="18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</row>
    <row r="775" spans="1:18" ht="18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</row>
    <row r="776" spans="1:18" ht="18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</row>
    <row r="777" spans="1:18" ht="18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</row>
    <row r="778" spans="1:18" ht="18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</row>
    <row r="779" spans="1:18" ht="18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</row>
    <row r="780" spans="1:18" ht="18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</row>
    <row r="781" spans="1:18" ht="18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</row>
    <row r="782" spans="1:18" ht="18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</row>
    <row r="783" spans="1:18" ht="18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</row>
    <row r="784" spans="1:18" ht="18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</row>
    <row r="785" spans="1:18" ht="18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</row>
    <row r="786" spans="1:18" ht="18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</row>
    <row r="787" spans="1:18" ht="18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</row>
    <row r="788" spans="1:18" ht="18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</row>
    <row r="789" spans="1:18" ht="18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</row>
    <row r="790" spans="1:18" ht="18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</row>
    <row r="791" spans="1:18" ht="18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</row>
    <row r="792" spans="1:18" ht="18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</row>
    <row r="793" spans="1:18" ht="18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</row>
    <row r="794" spans="1:18" ht="18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</row>
    <row r="795" spans="1:18" ht="18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</row>
    <row r="796" spans="1:18" ht="18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</row>
    <row r="797" spans="1:18" ht="18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</row>
    <row r="798" spans="1:18" ht="18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</row>
    <row r="799" spans="1:18" ht="18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</row>
    <row r="800" spans="1:18" ht="18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</row>
    <row r="801" spans="1:18" ht="18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</row>
    <row r="802" spans="1:18" ht="18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</row>
    <row r="803" spans="1:18" ht="18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</row>
    <row r="804" spans="1:18" ht="18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</row>
    <row r="805" spans="1:18" ht="18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</row>
    <row r="806" spans="1:18" ht="18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</row>
    <row r="807" spans="1:18" ht="18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</row>
    <row r="808" spans="1:18" ht="18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</row>
    <row r="809" spans="1:18" ht="18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</row>
    <row r="810" spans="1:18" ht="18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</row>
    <row r="811" spans="1:18" ht="18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</row>
    <row r="812" spans="1:18" ht="18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</row>
    <row r="813" spans="1:18" ht="18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</row>
    <row r="814" spans="1:18" ht="18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</row>
    <row r="815" spans="1:18" ht="18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</row>
    <row r="816" spans="1:18" ht="18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</row>
    <row r="817" spans="1:18" ht="18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</row>
    <row r="818" spans="1:18" ht="18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</row>
    <row r="819" spans="1:18" ht="18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</row>
    <row r="820" spans="1:18" ht="18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</row>
    <row r="821" spans="1:18" ht="18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</row>
    <row r="822" spans="1:18" ht="18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</row>
    <row r="823" spans="1:18" ht="18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</row>
    <row r="824" spans="1:18" ht="18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</row>
    <row r="825" spans="1:18" ht="18" x14ac:dyDescent="0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</row>
    <row r="826" spans="1:18" ht="18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</row>
    <row r="827" spans="1:18" ht="18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</row>
    <row r="828" spans="1:18" ht="18" x14ac:dyDescent="0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</row>
    <row r="829" spans="1:18" ht="18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</row>
    <row r="830" spans="1:18" ht="18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</row>
    <row r="831" spans="1:18" ht="18" x14ac:dyDescent="0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</row>
    <row r="832" spans="1:18" ht="18" x14ac:dyDescent="0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</row>
    <row r="833" spans="1:18" ht="18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</row>
    <row r="834" spans="1:18" ht="18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</row>
    <row r="835" spans="1:18" ht="18" x14ac:dyDescent="0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</row>
    <row r="836" spans="1:18" ht="18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</row>
    <row r="837" spans="1:18" ht="18" x14ac:dyDescent="0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</row>
    <row r="838" spans="1:18" ht="18" x14ac:dyDescent="0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</row>
    <row r="839" spans="1:18" ht="18" x14ac:dyDescent="0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</row>
    <row r="840" spans="1:18" ht="18" x14ac:dyDescent="0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</row>
    <row r="841" spans="1:18" ht="18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</row>
    <row r="842" spans="1:18" ht="18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</row>
    <row r="843" spans="1:18" ht="18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</row>
    <row r="844" spans="1:18" ht="18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</row>
    <row r="845" spans="1:18" ht="18" x14ac:dyDescent="0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</row>
    <row r="846" spans="1:18" ht="18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</row>
    <row r="847" spans="1:18" ht="18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</row>
    <row r="848" spans="1:18" ht="18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</row>
    <row r="849" spans="1:18" ht="18" x14ac:dyDescent="0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</row>
    <row r="850" spans="1:18" ht="18" x14ac:dyDescent="0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</row>
    <row r="851" spans="1:18" ht="18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</row>
    <row r="852" spans="1:18" ht="18" x14ac:dyDescent="0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</row>
    <row r="853" spans="1:18" ht="18" x14ac:dyDescent="0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</row>
    <row r="854" spans="1:18" ht="18" x14ac:dyDescent="0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</row>
    <row r="855" spans="1:18" ht="18" x14ac:dyDescent="0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</row>
    <row r="856" spans="1:18" ht="18" x14ac:dyDescent="0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</row>
    <row r="857" spans="1:18" ht="18" x14ac:dyDescent="0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</row>
    <row r="858" spans="1:18" ht="18" x14ac:dyDescent="0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</row>
    <row r="859" spans="1:18" ht="18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</row>
    <row r="860" spans="1:18" ht="18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</row>
    <row r="861" spans="1:18" ht="18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</row>
    <row r="862" spans="1:18" ht="18" x14ac:dyDescent="0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</row>
    <row r="863" spans="1:18" ht="18" x14ac:dyDescent="0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</row>
    <row r="864" spans="1:18" ht="18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</row>
    <row r="865" spans="1:18" ht="18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</row>
    <row r="866" spans="1:18" ht="18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</row>
    <row r="867" spans="1:18" ht="18" x14ac:dyDescent="0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</row>
    <row r="868" spans="1:18" ht="18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</row>
    <row r="869" spans="1:18" ht="18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</row>
    <row r="870" spans="1:18" ht="18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</row>
    <row r="871" spans="1:18" ht="18" x14ac:dyDescent="0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</row>
    <row r="872" spans="1:18" ht="18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</row>
    <row r="873" spans="1:18" ht="18" x14ac:dyDescent="0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</row>
    <row r="874" spans="1:18" ht="18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</row>
    <row r="875" spans="1:18" ht="18" x14ac:dyDescent="0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</row>
    <row r="876" spans="1:18" ht="18" x14ac:dyDescent="0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</row>
    <row r="877" spans="1:18" ht="18" x14ac:dyDescent="0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</row>
    <row r="878" spans="1:18" ht="18" x14ac:dyDescent="0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</row>
    <row r="879" spans="1:18" ht="18" x14ac:dyDescent="0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</row>
    <row r="880" spans="1:18" ht="18" x14ac:dyDescent="0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</row>
    <row r="881" spans="1:18" ht="18" x14ac:dyDescent="0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</row>
    <row r="882" spans="1:18" ht="18" x14ac:dyDescent="0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</row>
    <row r="883" spans="1:18" ht="18" x14ac:dyDescent="0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</row>
    <row r="884" spans="1:18" ht="18" x14ac:dyDescent="0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</row>
    <row r="885" spans="1:18" ht="18" x14ac:dyDescent="0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</row>
    <row r="886" spans="1:18" ht="18" x14ac:dyDescent="0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</row>
    <row r="887" spans="1:18" ht="18" x14ac:dyDescent="0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</row>
    <row r="888" spans="1:18" ht="18" x14ac:dyDescent="0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</row>
    <row r="889" spans="1:18" ht="18" x14ac:dyDescent="0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</row>
    <row r="890" spans="1:18" ht="18" x14ac:dyDescent="0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</row>
    <row r="891" spans="1:18" ht="18" x14ac:dyDescent="0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</row>
    <row r="892" spans="1:18" ht="18" x14ac:dyDescent="0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</row>
    <row r="893" spans="1:18" ht="18" x14ac:dyDescent="0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</row>
    <row r="894" spans="1:18" ht="18" x14ac:dyDescent="0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</row>
    <row r="895" spans="1:18" ht="18" x14ac:dyDescent="0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</row>
    <row r="896" spans="1:18" ht="18" x14ac:dyDescent="0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</row>
    <row r="897" spans="1:18" ht="18" x14ac:dyDescent="0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</row>
    <row r="898" spans="1:18" ht="18" x14ac:dyDescent="0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</row>
    <row r="899" spans="1:18" ht="18" x14ac:dyDescent="0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</row>
    <row r="900" spans="1:18" ht="18" x14ac:dyDescent="0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</row>
    <row r="901" spans="1:18" ht="18" x14ac:dyDescent="0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</row>
    <row r="902" spans="1:18" ht="18" x14ac:dyDescent="0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</row>
    <row r="903" spans="1:18" ht="18" x14ac:dyDescent="0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</row>
    <row r="904" spans="1:18" ht="18" x14ac:dyDescent="0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</row>
    <row r="905" spans="1:18" ht="18" x14ac:dyDescent="0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</row>
    <row r="906" spans="1:18" ht="18" x14ac:dyDescent="0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</row>
    <row r="907" spans="1:18" ht="18" x14ac:dyDescent="0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</row>
    <row r="908" spans="1:18" ht="18" x14ac:dyDescent="0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</row>
    <row r="909" spans="1:18" ht="18" x14ac:dyDescent="0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</row>
    <row r="910" spans="1:18" ht="18" x14ac:dyDescent="0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</row>
    <row r="911" spans="1:18" ht="18" x14ac:dyDescent="0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</row>
    <row r="912" spans="1:18" ht="18" x14ac:dyDescent="0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</row>
    <row r="913" spans="1:18" ht="18" x14ac:dyDescent="0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</row>
    <row r="914" spans="1:18" ht="18" x14ac:dyDescent="0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</row>
    <row r="915" spans="1:18" ht="18" x14ac:dyDescent="0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</row>
    <row r="916" spans="1:18" ht="18" x14ac:dyDescent="0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</row>
    <row r="917" spans="1:18" ht="18" x14ac:dyDescent="0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</row>
    <row r="918" spans="1:18" ht="18" x14ac:dyDescent="0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</row>
    <row r="919" spans="1:18" ht="18" x14ac:dyDescent="0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</row>
    <row r="920" spans="1:18" ht="18" x14ac:dyDescent="0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</row>
    <row r="921" spans="1:18" ht="18" x14ac:dyDescent="0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</row>
    <row r="922" spans="1:18" ht="18" x14ac:dyDescent="0.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</row>
    <row r="923" spans="1:18" ht="18" x14ac:dyDescent="0.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</row>
    <row r="924" spans="1:18" ht="18" x14ac:dyDescent="0.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</row>
    <row r="925" spans="1:18" ht="18" x14ac:dyDescent="0.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</row>
    <row r="926" spans="1:18" ht="18" x14ac:dyDescent="0.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</row>
    <row r="927" spans="1:18" ht="18" x14ac:dyDescent="0.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</row>
    <row r="928" spans="1:18" ht="18" x14ac:dyDescent="0.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</row>
    <row r="929" spans="1:18" ht="18" x14ac:dyDescent="0.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</row>
    <row r="930" spans="1:18" ht="18" x14ac:dyDescent="0.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</row>
    <row r="931" spans="1:18" ht="18" x14ac:dyDescent="0.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</row>
    <row r="932" spans="1:18" ht="18" x14ac:dyDescent="0.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</row>
    <row r="933" spans="1:18" ht="18" x14ac:dyDescent="0.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</row>
    <row r="934" spans="1:18" ht="18" x14ac:dyDescent="0.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</row>
    <row r="935" spans="1:18" ht="18" x14ac:dyDescent="0.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</row>
    <row r="936" spans="1:18" ht="18" x14ac:dyDescent="0.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</row>
    <row r="937" spans="1:18" ht="18" x14ac:dyDescent="0.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</row>
    <row r="938" spans="1:18" ht="18" x14ac:dyDescent="0.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</row>
    <row r="939" spans="1:18" ht="18" x14ac:dyDescent="0.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</row>
    <row r="940" spans="1:18" ht="18" x14ac:dyDescent="0.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</row>
    <row r="941" spans="1:18" ht="18" x14ac:dyDescent="0.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</row>
    <row r="942" spans="1:18" ht="18" x14ac:dyDescent="0.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</row>
    <row r="943" spans="1:18" ht="18" x14ac:dyDescent="0.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</row>
    <row r="944" spans="1:18" ht="18" x14ac:dyDescent="0.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</row>
    <row r="945" spans="1:18" ht="18" x14ac:dyDescent="0.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</row>
    <row r="946" spans="1:18" ht="18" x14ac:dyDescent="0.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</row>
    <row r="947" spans="1:18" ht="18" x14ac:dyDescent="0.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</row>
    <row r="948" spans="1:18" ht="18" x14ac:dyDescent="0.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</row>
    <row r="949" spans="1:18" ht="18" x14ac:dyDescent="0.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</row>
    <row r="950" spans="1:18" ht="18" x14ac:dyDescent="0.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</row>
    <row r="951" spans="1:18" ht="18" x14ac:dyDescent="0.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</row>
    <row r="952" spans="1:18" ht="18" x14ac:dyDescent="0.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</row>
    <row r="953" spans="1:18" ht="18" x14ac:dyDescent="0.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</row>
    <row r="954" spans="1:18" ht="18" x14ac:dyDescent="0.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</row>
    <row r="955" spans="1:18" ht="18" x14ac:dyDescent="0.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</row>
    <row r="956" spans="1:18" ht="18" x14ac:dyDescent="0.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</row>
    <row r="957" spans="1:18" ht="18" x14ac:dyDescent="0.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</row>
    <row r="958" spans="1:18" ht="18" x14ac:dyDescent="0.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</row>
    <row r="959" spans="1:18" ht="18" x14ac:dyDescent="0.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</row>
    <row r="960" spans="1:18" ht="18" x14ac:dyDescent="0.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</row>
    <row r="961" spans="1:18" ht="18" x14ac:dyDescent="0.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</row>
    <row r="962" spans="1:18" ht="18" x14ac:dyDescent="0.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</row>
    <row r="963" spans="1:18" ht="18" x14ac:dyDescent="0.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</row>
    <row r="964" spans="1:18" ht="18" x14ac:dyDescent="0.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</row>
    <row r="965" spans="1:18" ht="18" x14ac:dyDescent="0.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</row>
    <row r="966" spans="1:18" ht="18" x14ac:dyDescent="0.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</row>
    <row r="967" spans="1:18" ht="18" x14ac:dyDescent="0.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</row>
    <row r="968" spans="1:18" ht="18" x14ac:dyDescent="0.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</row>
    <row r="969" spans="1:18" ht="18" x14ac:dyDescent="0.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</row>
    <row r="970" spans="1:18" ht="18" x14ac:dyDescent="0.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</row>
    <row r="971" spans="1:18" ht="18" x14ac:dyDescent="0.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</row>
    <row r="972" spans="1:18" ht="18" x14ac:dyDescent="0.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</row>
    <row r="973" spans="1:18" ht="18" x14ac:dyDescent="0.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</row>
    <row r="974" spans="1:18" ht="18" x14ac:dyDescent="0.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</row>
    <row r="975" spans="1:18" ht="18" x14ac:dyDescent="0.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</row>
    <row r="976" spans="1:18" ht="18" x14ac:dyDescent="0.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</row>
    <row r="977" spans="1:18" ht="18" x14ac:dyDescent="0.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</row>
    <row r="978" spans="1:18" ht="18" x14ac:dyDescent="0.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</row>
    <row r="979" spans="1:18" ht="18" x14ac:dyDescent="0.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</row>
    <row r="980" spans="1:18" ht="18" x14ac:dyDescent="0.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</row>
    <row r="981" spans="1:18" ht="18" x14ac:dyDescent="0.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</row>
    <row r="982" spans="1:18" ht="18" x14ac:dyDescent="0.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</row>
    <row r="983" spans="1:18" ht="18" x14ac:dyDescent="0.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</row>
    <row r="984" spans="1:18" ht="18" x14ac:dyDescent="0.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</row>
    <row r="985" spans="1:18" ht="18" x14ac:dyDescent="0.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</row>
    <row r="986" spans="1:18" ht="18" x14ac:dyDescent="0.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</row>
    <row r="987" spans="1:18" ht="18" x14ac:dyDescent="0.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</row>
    <row r="988" spans="1:18" ht="18" x14ac:dyDescent="0.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</row>
    <row r="989" spans="1:18" ht="18" x14ac:dyDescent="0.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</row>
    <row r="990" spans="1:18" ht="18" x14ac:dyDescent="0.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</row>
    <row r="991" spans="1:18" ht="18" x14ac:dyDescent="0.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</row>
    <row r="992" spans="1:18" ht="18" x14ac:dyDescent="0.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</row>
    <row r="993" spans="1:18" ht="18" x14ac:dyDescent="0.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</row>
    <row r="994" spans="1:18" ht="18" x14ac:dyDescent="0.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</row>
    <row r="995" spans="1:18" ht="18" x14ac:dyDescent="0.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</row>
    <row r="996" spans="1:18" ht="18" x14ac:dyDescent="0.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</row>
    <row r="997" spans="1:18" ht="18" x14ac:dyDescent="0.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</row>
    <row r="998" spans="1:18" ht="18" x14ac:dyDescent="0.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</row>
    <row r="999" spans="1:18" ht="18" x14ac:dyDescent="0.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</row>
    <row r="1000" spans="1:18" ht="18" x14ac:dyDescent="0.4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</row>
    <row r="1001" spans="1:18" ht="18" x14ac:dyDescent="0.4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</row>
    <row r="1002" spans="1:18" ht="18" x14ac:dyDescent="0.4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</row>
    <row r="1003" spans="1:18" ht="18" x14ac:dyDescent="0.4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</row>
    <row r="1004" spans="1:18" ht="18" x14ac:dyDescent="0.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</row>
    <row r="1005" spans="1:18" ht="18" x14ac:dyDescent="0.4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</row>
    <row r="1006" spans="1:18" ht="18" x14ac:dyDescent="0.4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</row>
    <row r="1007" spans="1:18" ht="18" x14ac:dyDescent="0.4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</row>
    <row r="1008" spans="1:18" ht="18" x14ac:dyDescent="0.4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</row>
    <row r="1009" spans="1:18" ht="18" x14ac:dyDescent="0.4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</row>
    <row r="1010" spans="1:18" ht="18" x14ac:dyDescent="0.4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</row>
    <row r="1011" spans="1:18" ht="18" x14ac:dyDescent="0.4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</row>
    <row r="1012" spans="1:18" ht="18" x14ac:dyDescent="0.4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</row>
    <row r="1013" spans="1:18" ht="18" x14ac:dyDescent="0.4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</row>
    <row r="1014" spans="1:18" ht="18" x14ac:dyDescent="0.4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</row>
    <row r="1015" spans="1:18" ht="18" x14ac:dyDescent="0.4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</row>
    <row r="1016" spans="1:18" ht="18" x14ac:dyDescent="0.4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</row>
    <row r="1017" spans="1:18" ht="18" x14ac:dyDescent="0.4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</row>
    <row r="1018" spans="1:18" ht="18" x14ac:dyDescent="0.4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</row>
    <row r="1019" spans="1:18" ht="18" x14ac:dyDescent="0.4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</row>
    <row r="1020" spans="1:18" ht="18" x14ac:dyDescent="0.4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</row>
    <row r="1021" spans="1:18" ht="18" x14ac:dyDescent="0.4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</row>
    <row r="1022" spans="1:18" ht="18" x14ac:dyDescent="0.4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</row>
    <row r="1023" spans="1:18" ht="18" x14ac:dyDescent="0.4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</row>
    <row r="1024" spans="1:18" ht="18" x14ac:dyDescent="0.4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</row>
    <row r="1025" spans="1:18" ht="18" x14ac:dyDescent="0.4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</row>
    <row r="1026" spans="1:18" ht="18" x14ac:dyDescent="0.4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</row>
    <row r="1027" spans="1:18" ht="18" x14ac:dyDescent="0.4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</row>
    <row r="1028" spans="1:18" ht="18" x14ac:dyDescent="0.4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</row>
    <row r="1029" spans="1:18" ht="18" x14ac:dyDescent="0.4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</row>
    <row r="1030" spans="1:18" ht="18" x14ac:dyDescent="0.4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</row>
    <row r="1031" spans="1:18" ht="18" x14ac:dyDescent="0.4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</row>
    <row r="1032" spans="1:18" ht="18" x14ac:dyDescent="0.4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</row>
    <row r="1033" spans="1:18" ht="18" x14ac:dyDescent="0.4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</row>
    <row r="1034" spans="1:18" ht="18" x14ac:dyDescent="0.4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</row>
    <row r="1035" spans="1:18" ht="18" x14ac:dyDescent="0.4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</row>
    <row r="1036" spans="1:18" ht="18" x14ac:dyDescent="0.4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</row>
    <row r="1037" spans="1:18" ht="18" x14ac:dyDescent="0.4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</row>
    <row r="1038" spans="1:18" ht="18" x14ac:dyDescent="0.4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</row>
    <row r="1039" spans="1:18" ht="18" x14ac:dyDescent="0.4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</row>
    <row r="1040" spans="1:18" ht="18" x14ac:dyDescent="0.4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</row>
    <row r="1041" spans="1:18" ht="18" x14ac:dyDescent="0.4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</row>
    <row r="1042" spans="1:18" ht="18" x14ac:dyDescent="0.4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</row>
    <row r="1043" spans="1:18" ht="18" x14ac:dyDescent="0.4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</row>
    <row r="1044" spans="1:18" ht="18" x14ac:dyDescent="0.4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</row>
    <row r="1045" spans="1:18" ht="18" x14ac:dyDescent="0.4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</row>
    <row r="1046" spans="1:18" ht="18" x14ac:dyDescent="0.4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</row>
    <row r="1047" spans="1:18" ht="18" x14ac:dyDescent="0.4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</row>
    <row r="1048" spans="1:18" ht="18" x14ac:dyDescent="0.4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</row>
    <row r="1049" spans="1:18" ht="18" x14ac:dyDescent="0.4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</row>
    <row r="1050" spans="1:18" ht="18" x14ac:dyDescent="0.4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</row>
    <row r="1051" spans="1:18" ht="18" x14ac:dyDescent="0.4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</row>
    <row r="1052" spans="1:18" ht="18" x14ac:dyDescent="0.4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</row>
    <row r="1053" spans="1:18" ht="18" x14ac:dyDescent="0.4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</row>
    <row r="1054" spans="1:18" ht="18" x14ac:dyDescent="0.4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</row>
    <row r="1055" spans="1:18" ht="18" x14ac:dyDescent="0.4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</row>
    <row r="1056" spans="1:18" ht="18" x14ac:dyDescent="0.4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</row>
    <row r="1057" spans="1:18" ht="18" x14ac:dyDescent="0.4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</row>
    <row r="1058" spans="1:18" ht="18" x14ac:dyDescent="0.4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</row>
    <row r="1059" spans="1:18" ht="18" x14ac:dyDescent="0.4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</row>
    <row r="1060" spans="1:18" ht="18" x14ac:dyDescent="0.4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</row>
    <row r="1061" spans="1:18" ht="18" x14ac:dyDescent="0.4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</row>
    <row r="1062" spans="1:18" ht="18" x14ac:dyDescent="0.4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</row>
    <row r="1063" spans="1:18" ht="18" x14ac:dyDescent="0.4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</row>
    <row r="1064" spans="1:18" ht="18" x14ac:dyDescent="0.4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</row>
    <row r="1065" spans="1:18" ht="18" x14ac:dyDescent="0.4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</row>
    <row r="1066" spans="1:18" ht="18" x14ac:dyDescent="0.4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</row>
    <row r="1067" spans="1:18" ht="18" x14ac:dyDescent="0.4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</row>
    <row r="1068" spans="1:18" ht="18" x14ac:dyDescent="0.4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</row>
    <row r="1069" spans="1:18" ht="18" x14ac:dyDescent="0.4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</row>
    <row r="1070" spans="1:18" ht="18" x14ac:dyDescent="0.4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</row>
    <row r="1071" spans="1:18" ht="18" x14ac:dyDescent="0.4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</row>
    <row r="1072" spans="1:18" ht="18" x14ac:dyDescent="0.4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</row>
    <row r="1073" spans="1:18" ht="18" x14ac:dyDescent="0.4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</row>
    <row r="1074" spans="1:18" ht="18" x14ac:dyDescent="0.4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</row>
    <row r="1075" spans="1:18" ht="18" x14ac:dyDescent="0.4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</row>
    <row r="1076" spans="1:18" ht="18" x14ac:dyDescent="0.4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</row>
    <row r="1077" spans="1:18" ht="18" x14ac:dyDescent="0.4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</row>
    <row r="1078" spans="1:18" ht="18" x14ac:dyDescent="0.4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</row>
    <row r="1079" spans="1:18" ht="18" x14ac:dyDescent="0.4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</row>
    <row r="1080" spans="1:18" ht="18" x14ac:dyDescent="0.4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</row>
    <row r="1081" spans="1:18" ht="18" x14ac:dyDescent="0.4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</row>
    <row r="1082" spans="1:18" ht="18" x14ac:dyDescent="0.4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</row>
    <row r="1083" spans="1:18" ht="18" x14ac:dyDescent="0.4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</row>
    <row r="1084" spans="1:18" ht="18" x14ac:dyDescent="0.4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</row>
    <row r="1085" spans="1:18" ht="18" x14ac:dyDescent="0.4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</row>
    <row r="1086" spans="1:18" ht="18" x14ac:dyDescent="0.4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</row>
    <row r="1087" spans="1:18" ht="18" x14ac:dyDescent="0.4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</row>
    <row r="1088" spans="1:18" ht="18" x14ac:dyDescent="0.4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</row>
    <row r="1089" spans="1:18" ht="18" x14ac:dyDescent="0.4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</row>
    <row r="1090" spans="1:18" ht="18" x14ac:dyDescent="0.4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</row>
    <row r="1091" spans="1:18" ht="18" x14ac:dyDescent="0.4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</row>
    <row r="1092" spans="1:18" ht="18" x14ac:dyDescent="0.4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</row>
    <row r="1093" spans="1:18" ht="18" x14ac:dyDescent="0.4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</row>
    <row r="1094" spans="1:18" ht="18" x14ac:dyDescent="0.4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</row>
    <row r="1095" spans="1:18" ht="18" x14ac:dyDescent="0.4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</row>
    <row r="1096" spans="1:18" ht="18" x14ac:dyDescent="0.4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</row>
    <row r="1097" spans="1:18" ht="18" x14ac:dyDescent="0.4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</row>
    <row r="1098" spans="1:18" ht="18" x14ac:dyDescent="0.4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</row>
    <row r="1099" spans="1:18" ht="18" x14ac:dyDescent="0.4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</row>
    <row r="1100" spans="1:18" ht="18" x14ac:dyDescent="0.4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</row>
    <row r="1101" spans="1:18" ht="18" x14ac:dyDescent="0.4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</row>
    <row r="1102" spans="1:18" ht="18" x14ac:dyDescent="0.4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</row>
    <row r="1103" spans="1:18" ht="18" x14ac:dyDescent="0.4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</row>
    <row r="1104" spans="1:18" ht="18" x14ac:dyDescent="0.4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</row>
    <row r="1105" spans="1:18" ht="18" x14ac:dyDescent="0.4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</row>
    <row r="1106" spans="1:18" ht="18" x14ac:dyDescent="0.4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</row>
    <row r="1107" spans="1:18" ht="18" x14ac:dyDescent="0.4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</row>
    <row r="1108" spans="1:18" ht="18" x14ac:dyDescent="0.4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</row>
    <row r="1109" spans="1:18" ht="18" x14ac:dyDescent="0.4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</row>
    <row r="1110" spans="1:18" ht="18" x14ac:dyDescent="0.4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</row>
    <row r="1111" spans="1:18" ht="18" x14ac:dyDescent="0.4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</row>
    <row r="1112" spans="1:18" ht="18" x14ac:dyDescent="0.4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</row>
    <row r="1113" spans="1:18" ht="18" x14ac:dyDescent="0.4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</row>
    <row r="1114" spans="1:18" ht="18" x14ac:dyDescent="0.4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</row>
    <row r="1115" spans="1:18" ht="18" x14ac:dyDescent="0.4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</row>
    <row r="1116" spans="1:18" ht="18" x14ac:dyDescent="0.4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</row>
    <row r="1117" spans="1:18" ht="18" x14ac:dyDescent="0.4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</row>
    <row r="1118" spans="1:18" ht="18" x14ac:dyDescent="0.4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</row>
    <row r="1119" spans="1:18" ht="18" x14ac:dyDescent="0.4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</row>
    <row r="1120" spans="1:18" ht="18" x14ac:dyDescent="0.4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</row>
    <row r="1121" spans="1:18" ht="18" x14ac:dyDescent="0.4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</row>
    <row r="1122" spans="1:18" ht="18" x14ac:dyDescent="0.4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</row>
    <row r="1123" spans="1:18" ht="18" x14ac:dyDescent="0.4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</row>
    <row r="1124" spans="1:18" ht="18" x14ac:dyDescent="0.4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</row>
    <row r="1125" spans="1:18" ht="18" x14ac:dyDescent="0.4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</row>
    <row r="1126" spans="1:18" ht="18" x14ac:dyDescent="0.4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</row>
    <row r="1127" spans="1:18" ht="18" x14ac:dyDescent="0.4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</row>
    <row r="1128" spans="1:18" ht="18" x14ac:dyDescent="0.4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</row>
    <row r="1129" spans="1:18" ht="18" x14ac:dyDescent="0.4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</row>
    <row r="1130" spans="1:18" ht="18" x14ac:dyDescent="0.4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</row>
    <row r="1131" spans="1:18" ht="18" x14ac:dyDescent="0.4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</row>
    <row r="1132" spans="1:18" ht="18" x14ac:dyDescent="0.4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</row>
    <row r="1133" spans="1:18" ht="18" x14ac:dyDescent="0.4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</row>
    <row r="1134" spans="1:18" ht="18" x14ac:dyDescent="0.4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</row>
    <row r="1135" spans="1:18" ht="18" x14ac:dyDescent="0.4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</row>
    <row r="1136" spans="1:18" ht="18" x14ac:dyDescent="0.4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</row>
    <row r="1137" spans="1:18" ht="18" x14ac:dyDescent="0.4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</row>
    <row r="1138" spans="1:18" ht="18" x14ac:dyDescent="0.4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</row>
    <row r="1139" spans="1:18" ht="18" x14ac:dyDescent="0.4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</row>
    <row r="1140" spans="1:18" ht="18" x14ac:dyDescent="0.4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</row>
    <row r="1141" spans="1:18" ht="18" x14ac:dyDescent="0.4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</row>
    <row r="1142" spans="1:18" ht="18" x14ac:dyDescent="0.4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</row>
    <row r="1143" spans="1:18" ht="18" x14ac:dyDescent="0.4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</row>
    <row r="1144" spans="1:18" ht="18" x14ac:dyDescent="0.4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</row>
    <row r="1145" spans="1:18" ht="18" x14ac:dyDescent="0.4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</row>
    <row r="1146" spans="1:18" ht="18" x14ac:dyDescent="0.4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</row>
    <row r="1147" spans="1:18" ht="18" x14ac:dyDescent="0.4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</row>
    <row r="1148" spans="1:18" ht="18" x14ac:dyDescent="0.4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</row>
    <row r="1149" spans="1:18" ht="18" x14ac:dyDescent="0.4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</row>
    <row r="1150" spans="1:18" ht="18" x14ac:dyDescent="0.4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</row>
    <row r="1151" spans="1:18" ht="18" x14ac:dyDescent="0.4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</row>
    <row r="1152" spans="1:18" ht="18" x14ac:dyDescent="0.4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</row>
    <row r="1153" spans="1:18" ht="18" x14ac:dyDescent="0.4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</row>
    <row r="1154" spans="1:18" ht="18" x14ac:dyDescent="0.4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</row>
    <row r="1155" spans="1:18" ht="18" x14ac:dyDescent="0.4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</row>
    <row r="1156" spans="1:18" ht="18" x14ac:dyDescent="0.4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</row>
    <row r="1157" spans="1:18" ht="18" x14ac:dyDescent="0.4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</row>
    <row r="1158" spans="1:18" ht="18" x14ac:dyDescent="0.4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</row>
    <row r="1159" spans="1:18" ht="18" x14ac:dyDescent="0.4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</row>
    <row r="1160" spans="1:18" ht="18" x14ac:dyDescent="0.4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</row>
    <row r="1161" spans="1:18" ht="18" x14ac:dyDescent="0.4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</row>
    <row r="1162" spans="1:18" ht="18" x14ac:dyDescent="0.4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</row>
    <row r="1163" spans="1:18" ht="18" x14ac:dyDescent="0.4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</row>
    <row r="1164" spans="1:18" ht="18" x14ac:dyDescent="0.4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</row>
    <row r="1165" spans="1:18" ht="18" x14ac:dyDescent="0.4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</row>
    <row r="1166" spans="1:18" ht="18" x14ac:dyDescent="0.4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</row>
    <row r="1167" spans="1:18" ht="18" x14ac:dyDescent="0.4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</row>
    <row r="1168" spans="1:18" ht="18" x14ac:dyDescent="0.4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</row>
    <row r="1169" spans="1:18" ht="18" x14ac:dyDescent="0.4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</row>
    <row r="1170" spans="1:18" ht="18" x14ac:dyDescent="0.4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</row>
    <row r="1171" spans="1:18" ht="18" x14ac:dyDescent="0.4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</row>
    <row r="1172" spans="1:18" ht="18" x14ac:dyDescent="0.4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</row>
    <row r="1173" spans="1:18" ht="18" x14ac:dyDescent="0.4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</row>
    <row r="1174" spans="1:18" ht="18" x14ac:dyDescent="0.4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</row>
    <row r="1175" spans="1:18" ht="18" x14ac:dyDescent="0.4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</row>
    <row r="1176" spans="1:18" ht="18" x14ac:dyDescent="0.4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</row>
    <row r="1177" spans="1:18" ht="18" x14ac:dyDescent="0.4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</row>
    <row r="1178" spans="1:18" ht="18" x14ac:dyDescent="0.4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</row>
    <row r="1179" spans="1:18" ht="18" x14ac:dyDescent="0.4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</row>
    <row r="1180" spans="1:18" ht="18" x14ac:dyDescent="0.4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</row>
    <row r="1181" spans="1:18" ht="18" x14ac:dyDescent="0.4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</row>
    <row r="1182" spans="1:18" ht="18" x14ac:dyDescent="0.4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</row>
    <row r="1183" spans="1:18" ht="18" x14ac:dyDescent="0.4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</row>
    <row r="1184" spans="1:18" ht="18" x14ac:dyDescent="0.4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</row>
    <row r="1185" spans="1:18" ht="18" x14ac:dyDescent="0.4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</row>
    <row r="1186" spans="1:18" ht="18" x14ac:dyDescent="0.4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</row>
    <row r="1187" spans="1:18" ht="18" x14ac:dyDescent="0.4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</row>
    <row r="1188" spans="1:18" ht="18" x14ac:dyDescent="0.4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</row>
    <row r="1189" spans="1:18" ht="18" x14ac:dyDescent="0.4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</row>
    <row r="1190" spans="1:18" ht="18" x14ac:dyDescent="0.4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</row>
    <row r="1191" spans="1:18" ht="18" x14ac:dyDescent="0.4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</row>
    <row r="1192" spans="1:18" ht="18" x14ac:dyDescent="0.4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</row>
    <row r="1193" spans="1:18" ht="18" x14ac:dyDescent="0.4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</row>
    <row r="1194" spans="1:18" ht="18" x14ac:dyDescent="0.4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</row>
    <row r="1195" spans="1:18" ht="18" x14ac:dyDescent="0.4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</row>
    <row r="1196" spans="1:18" ht="18" x14ac:dyDescent="0.4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</row>
    <row r="1197" spans="1:18" ht="18" x14ac:dyDescent="0.4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</row>
    <row r="1198" spans="1:18" ht="18" x14ac:dyDescent="0.4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</row>
    <row r="1199" spans="1:18" ht="18" x14ac:dyDescent="0.4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</row>
    <row r="1200" spans="1:18" ht="18" x14ac:dyDescent="0.4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</row>
    <row r="1201" spans="1:18" ht="18" x14ac:dyDescent="0.4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</row>
    <row r="1202" spans="1:18" ht="18" x14ac:dyDescent="0.4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</row>
    <row r="1203" spans="1:18" ht="18" x14ac:dyDescent="0.4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</row>
    <row r="1204" spans="1:18" ht="18" x14ac:dyDescent="0.4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</row>
    <row r="1205" spans="1:18" ht="18" x14ac:dyDescent="0.4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</row>
    <row r="1206" spans="1:18" ht="18" x14ac:dyDescent="0.4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</row>
    <row r="1207" spans="1:18" ht="18" x14ac:dyDescent="0.4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</row>
    <row r="1208" spans="1:18" ht="18" x14ac:dyDescent="0.4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</row>
    <row r="1209" spans="1:18" ht="18" x14ac:dyDescent="0.4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</row>
    <row r="1210" spans="1:18" ht="18" x14ac:dyDescent="0.4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</row>
    <row r="1211" spans="1:18" ht="18" x14ac:dyDescent="0.4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</row>
    <row r="1212" spans="1:18" ht="18" x14ac:dyDescent="0.4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</row>
    <row r="1213" spans="1:18" ht="18" x14ac:dyDescent="0.4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</row>
    <row r="1214" spans="1:18" ht="18" x14ac:dyDescent="0.4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</row>
    <row r="1215" spans="1:18" ht="18" x14ac:dyDescent="0.4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</row>
    <row r="1216" spans="1:18" ht="18" x14ac:dyDescent="0.4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</row>
    <row r="1217" spans="1:18" ht="18" x14ac:dyDescent="0.4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</row>
    <row r="1218" spans="1:18" ht="18" x14ac:dyDescent="0.4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</row>
    <row r="1219" spans="1:18" ht="18" x14ac:dyDescent="0.4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</row>
    <row r="1220" spans="1:18" ht="18" x14ac:dyDescent="0.4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</row>
    <row r="1221" spans="1:18" ht="18" x14ac:dyDescent="0.4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</row>
    <row r="1222" spans="1:18" ht="18" x14ac:dyDescent="0.4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</row>
    <row r="1223" spans="1:18" ht="18" x14ac:dyDescent="0.4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</row>
    <row r="1224" spans="1:18" ht="18" x14ac:dyDescent="0.4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</row>
    <row r="1225" spans="1:18" ht="18" x14ac:dyDescent="0.4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</row>
    <row r="1226" spans="1:18" ht="18" x14ac:dyDescent="0.4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</row>
    <row r="1227" spans="1:18" ht="18" x14ac:dyDescent="0.4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</row>
    <row r="1228" spans="1:18" ht="18" x14ac:dyDescent="0.4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</row>
    <row r="1229" spans="1:18" ht="18" x14ac:dyDescent="0.4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</row>
    <row r="1230" spans="1:18" ht="18" x14ac:dyDescent="0.4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</row>
    <row r="1231" spans="1:18" ht="18" x14ac:dyDescent="0.4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</row>
    <row r="1232" spans="1:18" ht="18" x14ac:dyDescent="0.4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</row>
    <row r="1233" spans="1:18" ht="18" x14ac:dyDescent="0.4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</row>
    <row r="1234" spans="1:18" ht="18" x14ac:dyDescent="0.4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</row>
    <row r="1235" spans="1:18" ht="18" x14ac:dyDescent="0.4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</row>
    <row r="1236" spans="1:18" ht="18" x14ac:dyDescent="0.4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</row>
    <row r="1237" spans="1:18" ht="18" x14ac:dyDescent="0.4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</row>
    <row r="1238" spans="1:18" ht="18" x14ac:dyDescent="0.4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</row>
    <row r="1239" spans="1:18" ht="18" x14ac:dyDescent="0.4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</row>
    <row r="1240" spans="1:18" ht="18" x14ac:dyDescent="0.4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</row>
    <row r="1241" spans="1:18" ht="18" x14ac:dyDescent="0.4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</row>
    <row r="1242" spans="1:18" ht="18" x14ac:dyDescent="0.4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</row>
    <row r="1243" spans="1:18" ht="18" x14ac:dyDescent="0.4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</row>
    <row r="1244" spans="1:18" ht="18" x14ac:dyDescent="0.4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</row>
    <row r="1245" spans="1:18" ht="18" x14ac:dyDescent="0.4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</row>
    <row r="1246" spans="1:18" ht="18" x14ac:dyDescent="0.4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</row>
    <row r="1247" spans="1:18" ht="18" x14ac:dyDescent="0.4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</row>
    <row r="1248" spans="1:18" ht="18" x14ac:dyDescent="0.4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</row>
    <row r="1249" spans="1:18" ht="18" x14ac:dyDescent="0.4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</row>
    <row r="1250" spans="1:18" ht="18" x14ac:dyDescent="0.4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</row>
    <row r="1251" spans="1:18" ht="18" x14ac:dyDescent="0.4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</row>
    <row r="1252" spans="1:18" ht="18" x14ac:dyDescent="0.4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</row>
    <row r="1253" spans="1:18" ht="18" x14ac:dyDescent="0.4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</row>
    <row r="1254" spans="1:18" ht="18" x14ac:dyDescent="0.4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</row>
    <row r="1255" spans="1:18" ht="18" x14ac:dyDescent="0.4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</row>
    <row r="1256" spans="1:18" ht="18" x14ac:dyDescent="0.4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</row>
    <row r="1257" spans="1:18" ht="18" x14ac:dyDescent="0.4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</row>
    <row r="1258" spans="1:18" ht="18" x14ac:dyDescent="0.4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</row>
    <row r="1259" spans="1:18" ht="18" x14ac:dyDescent="0.4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</row>
    <row r="1260" spans="1:18" ht="18" x14ac:dyDescent="0.4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</row>
    <row r="1261" spans="1:18" ht="18" x14ac:dyDescent="0.4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</row>
    <row r="1262" spans="1:18" ht="18" x14ac:dyDescent="0.4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</row>
    <row r="1263" spans="1:18" ht="18" x14ac:dyDescent="0.4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</row>
    <row r="1264" spans="1:18" ht="18" x14ac:dyDescent="0.4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</row>
    <row r="1265" spans="1:18" ht="18" x14ac:dyDescent="0.4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</row>
    <row r="1266" spans="1:18" ht="18" x14ac:dyDescent="0.4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</row>
    <row r="1267" spans="1:18" ht="18" x14ac:dyDescent="0.4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</row>
    <row r="1268" spans="1:18" ht="18" x14ac:dyDescent="0.4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</row>
    <row r="1269" spans="1:18" ht="18" x14ac:dyDescent="0.4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</row>
    <row r="1270" spans="1:18" ht="18" x14ac:dyDescent="0.4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</row>
    <row r="1271" spans="1:18" ht="18" x14ac:dyDescent="0.4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</row>
    <row r="1272" spans="1:18" ht="18" x14ac:dyDescent="0.4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</row>
    <row r="1273" spans="1:18" ht="18" x14ac:dyDescent="0.4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</row>
    <row r="1274" spans="1:18" ht="18" x14ac:dyDescent="0.4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</row>
    <row r="1275" spans="1:18" ht="18" x14ac:dyDescent="0.4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</row>
    <row r="1276" spans="1:18" ht="18" x14ac:dyDescent="0.4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</row>
    <row r="1277" spans="1:18" ht="18" x14ac:dyDescent="0.4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</row>
    <row r="1278" spans="1:18" ht="18" x14ac:dyDescent="0.4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</row>
    <row r="1279" spans="1:18" ht="18" x14ac:dyDescent="0.4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</row>
    <row r="1280" spans="1:18" ht="18" x14ac:dyDescent="0.4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</row>
    <row r="1281" spans="1:18" ht="18" x14ac:dyDescent="0.4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</row>
    <row r="1282" spans="1:18" ht="18" x14ac:dyDescent="0.4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</row>
    <row r="1283" spans="1:18" ht="18" x14ac:dyDescent="0.4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</row>
    <row r="1284" spans="1:18" ht="18" x14ac:dyDescent="0.4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</row>
    <row r="1285" spans="1:18" ht="18" x14ac:dyDescent="0.4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</row>
    <row r="1286" spans="1:18" ht="18" x14ac:dyDescent="0.4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</row>
    <row r="1287" spans="1:18" ht="18" x14ac:dyDescent="0.4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</row>
    <row r="1288" spans="1:18" ht="18" x14ac:dyDescent="0.4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</row>
    <row r="1289" spans="1:18" ht="18" x14ac:dyDescent="0.4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</row>
    <row r="1290" spans="1:18" ht="18" x14ac:dyDescent="0.4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</row>
    <row r="1291" spans="1:18" ht="18" x14ac:dyDescent="0.4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</row>
    <row r="1292" spans="1:18" ht="18" x14ac:dyDescent="0.4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</row>
    <row r="1293" spans="1:18" ht="18" x14ac:dyDescent="0.4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</row>
    <row r="1294" spans="1:18" ht="18" x14ac:dyDescent="0.4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</row>
    <row r="1295" spans="1:18" ht="18" x14ac:dyDescent="0.4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</row>
    <row r="1296" spans="1:18" ht="18" x14ac:dyDescent="0.4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</row>
    <row r="1297" spans="1:18" ht="18" x14ac:dyDescent="0.4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</row>
    <row r="1298" spans="1:18" ht="18" x14ac:dyDescent="0.4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</row>
    <row r="1299" spans="1:18" ht="18" x14ac:dyDescent="0.4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</row>
    <row r="1300" spans="1:18" ht="18" x14ac:dyDescent="0.4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</row>
    <row r="1301" spans="1:18" ht="18" x14ac:dyDescent="0.4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</row>
    <row r="1302" spans="1:18" ht="18" x14ac:dyDescent="0.4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</row>
    <row r="1303" spans="1:18" ht="18" x14ac:dyDescent="0.4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</row>
    <row r="1304" spans="1:18" ht="18" x14ac:dyDescent="0.4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</row>
    <row r="1305" spans="1:18" ht="18" x14ac:dyDescent="0.4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</row>
    <row r="1306" spans="1:18" ht="18" x14ac:dyDescent="0.4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</row>
    <row r="1307" spans="1:18" ht="18" x14ac:dyDescent="0.4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</row>
    <row r="1308" spans="1:18" ht="18" x14ac:dyDescent="0.4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</row>
    <row r="1309" spans="1:18" ht="18" x14ac:dyDescent="0.4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</row>
    <row r="1310" spans="1:18" ht="18" x14ac:dyDescent="0.4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</row>
    <row r="1311" spans="1:18" ht="18" x14ac:dyDescent="0.4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</row>
    <row r="1312" spans="1:18" ht="18" x14ac:dyDescent="0.4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</row>
    <row r="1313" spans="1:18" ht="18" x14ac:dyDescent="0.4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</row>
    <row r="1314" spans="1:18" ht="18" x14ac:dyDescent="0.4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</row>
    <row r="1315" spans="1:18" ht="18" x14ac:dyDescent="0.4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</row>
    <row r="1316" spans="1:18" ht="18" x14ac:dyDescent="0.4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</row>
    <row r="1317" spans="1:18" ht="18" x14ac:dyDescent="0.4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</row>
    <row r="1318" spans="1:18" ht="18" x14ac:dyDescent="0.4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</row>
    <row r="1319" spans="1:18" ht="18" x14ac:dyDescent="0.4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</row>
    <row r="1320" spans="1:18" ht="18" x14ac:dyDescent="0.4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</row>
    <row r="1321" spans="1:18" ht="18" x14ac:dyDescent="0.4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</row>
    <row r="1322" spans="1:18" ht="18" x14ac:dyDescent="0.4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</row>
    <row r="1323" spans="1:18" ht="18" x14ac:dyDescent="0.4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</row>
    <row r="1324" spans="1:18" ht="18" x14ac:dyDescent="0.4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</row>
    <row r="1325" spans="1:18" ht="18" x14ac:dyDescent="0.4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</row>
    <row r="1326" spans="1:18" ht="18" x14ac:dyDescent="0.4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</row>
    <row r="1327" spans="1:18" ht="18" x14ac:dyDescent="0.4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</row>
    <row r="1328" spans="1:18" ht="18" x14ac:dyDescent="0.4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</row>
    <row r="1329" spans="1:18" ht="18" x14ac:dyDescent="0.4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</row>
    <row r="1330" spans="1:18" ht="18" x14ac:dyDescent="0.4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</row>
    <row r="1331" spans="1:18" ht="18" x14ac:dyDescent="0.4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</row>
    <row r="1332" spans="1:18" ht="18" x14ac:dyDescent="0.4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</row>
    <row r="1333" spans="1:18" ht="18" x14ac:dyDescent="0.4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</row>
    <row r="1334" spans="1:18" ht="18" x14ac:dyDescent="0.4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</row>
    <row r="1335" spans="1:18" ht="18" x14ac:dyDescent="0.4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</row>
    <row r="1336" spans="1:18" ht="18" x14ac:dyDescent="0.4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</row>
    <row r="1337" spans="1:18" ht="18" x14ac:dyDescent="0.4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</row>
    <row r="1338" spans="1:18" ht="18" x14ac:dyDescent="0.4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</row>
    <row r="1339" spans="1:18" ht="18" x14ac:dyDescent="0.4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</row>
    <row r="1340" spans="1:18" ht="18" x14ac:dyDescent="0.4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</row>
    <row r="1341" spans="1:18" ht="18" x14ac:dyDescent="0.4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</row>
    <row r="1342" spans="1:18" ht="18" x14ac:dyDescent="0.4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</row>
    <row r="1343" spans="1:18" ht="18" x14ac:dyDescent="0.4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</row>
    <row r="1344" spans="1:18" ht="18" x14ac:dyDescent="0.4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</row>
    <row r="1345" spans="1:18" ht="18" x14ac:dyDescent="0.4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</row>
    <row r="1346" spans="1:18" ht="18" x14ac:dyDescent="0.4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</row>
    <row r="1347" spans="1:18" ht="18" x14ac:dyDescent="0.4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</row>
    <row r="1348" spans="1:18" ht="18" x14ac:dyDescent="0.4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</row>
    <row r="1349" spans="1:18" ht="18" x14ac:dyDescent="0.4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</row>
    <row r="1350" spans="1:18" ht="18" x14ac:dyDescent="0.4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</row>
    <row r="1351" spans="1:18" ht="18" x14ac:dyDescent="0.4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</row>
    <row r="1352" spans="1:18" ht="18" x14ac:dyDescent="0.4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</row>
    <row r="1353" spans="1:18" ht="18" x14ac:dyDescent="0.4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</row>
    <row r="1354" spans="1:18" ht="18" x14ac:dyDescent="0.4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</row>
    <row r="1355" spans="1:18" ht="18" x14ac:dyDescent="0.4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</row>
    <row r="1356" spans="1:18" ht="18" x14ac:dyDescent="0.4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</row>
    <row r="1357" spans="1:18" ht="18" x14ac:dyDescent="0.4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</row>
    <row r="1358" spans="1:18" ht="18" x14ac:dyDescent="0.4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</row>
    <row r="1359" spans="1:18" ht="18" x14ac:dyDescent="0.4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</row>
    <row r="1360" spans="1:18" ht="18" x14ac:dyDescent="0.4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</row>
    <row r="1361" spans="1:18" ht="18" x14ac:dyDescent="0.4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</row>
    <row r="1362" spans="1:18" ht="18" x14ac:dyDescent="0.4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</row>
    <row r="1363" spans="1:18" ht="18" x14ac:dyDescent="0.4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</row>
    <row r="1364" spans="1:18" ht="18" x14ac:dyDescent="0.4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</row>
    <row r="1365" spans="1:18" ht="18" x14ac:dyDescent="0.4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</row>
    <row r="1366" spans="1:18" ht="18" x14ac:dyDescent="0.4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</row>
    <row r="1367" spans="1:18" ht="18" x14ac:dyDescent="0.4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</row>
    <row r="1368" spans="1:18" ht="18" x14ac:dyDescent="0.4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</row>
    <row r="1369" spans="1:18" ht="18" x14ac:dyDescent="0.4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</row>
    <row r="1370" spans="1:18" ht="18" x14ac:dyDescent="0.4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</row>
    <row r="1371" spans="1:18" ht="18" x14ac:dyDescent="0.4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</row>
    <row r="1372" spans="1:18" ht="18" x14ac:dyDescent="0.4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</row>
    <row r="1373" spans="1:18" ht="18" x14ac:dyDescent="0.4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</row>
    <row r="1374" spans="1:18" ht="18" x14ac:dyDescent="0.4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</row>
    <row r="1375" spans="1:18" ht="18" x14ac:dyDescent="0.4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</row>
    <row r="1376" spans="1:18" ht="18" x14ac:dyDescent="0.4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</row>
    <row r="1377" spans="1:18" ht="18" x14ac:dyDescent="0.4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</row>
    <row r="1378" spans="1:18" ht="18" x14ac:dyDescent="0.4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</row>
    <row r="1379" spans="1:18" ht="18" x14ac:dyDescent="0.4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</row>
    <row r="1380" spans="1:18" ht="18" x14ac:dyDescent="0.4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</row>
    <row r="1381" spans="1:18" ht="18" x14ac:dyDescent="0.4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</row>
    <row r="1382" spans="1:18" ht="18" x14ac:dyDescent="0.4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</row>
    <row r="1383" spans="1:18" ht="18" x14ac:dyDescent="0.4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</row>
    <row r="1384" spans="1:18" ht="18" x14ac:dyDescent="0.4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</row>
    <row r="1385" spans="1:18" ht="18" x14ac:dyDescent="0.4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</row>
    <row r="1386" spans="1:18" ht="18" x14ac:dyDescent="0.4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</row>
    <row r="1387" spans="1:18" ht="18" x14ac:dyDescent="0.4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</row>
    <row r="1388" spans="1:18" ht="18" x14ac:dyDescent="0.4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</row>
    <row r="1389" spans="1:18" ht="18" x14ac:dyDescent="0.4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</row>
    <row r="1390" spans="1:18" ht="18" x14ac:dyDescent="0.4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</row>
    <row r="1391" spans="1:18" ht="18" x14ac:dyDescent="0.4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</row>
    <row r="1392" spans="1:18" ht="18" x14ac:dyDescent="0.4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</row>
    <row r="1393" spans="1:18" ht="18" x14ac:dyDescent="0.4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</row>
    <row r="1394" spans="1:18" ht="18" x14ac:dyDescent="0.4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</row>
    <row r="1395" spans="1:18" ht="18" x14ac:dyDescent="0.4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</row>
    <row r="1396" spans="1:18" ht="18" x14ac:dyDescent="0.4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</row>
    <row r="1397" spans="1:18" ht="18" x14ac:dyDescent="0.4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</row>
    <row r="1398" spans="1:18" ht="18" x14ac:dyDescent="0.4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</row>
    <row r="1399" spans="1:18" ht="18" x14ac:dyDescent="0.4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</row>
    <row r="1400" spans="1:18" ht="18" x14ac:dyDescent="0.4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</row>
    <row r="1401" spans="1:18" ht="18" x14ac:dyDescent="0.4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</row>
    <row r="1402" spans="1:18" ht="18" x14ac:dyDescent="0.4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</row>
    <row r="1403" spans="1:18" ht="18" x14ac:dyDescent="0.4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</row>
    <row r="1404" spans="1:18" ht="18" x14ac:dyDescent="0.4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</row>
    <row r="1405" spans="1:18" ht="18" x14ac:dyDescent="0.4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</row>
    <row r="1406" spans="1:18" ht="18" x14ac:dyDescent="0.4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</row>
    <row r="1407" spans="1:18" ht="18" x14ac:dyDescent="0.4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</row>
    <row r="1408" spans="1:18" ht="18" x14ac:dyDescent="0.4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</row>
    <row r="1409" spans="1:18" ht="18" x14ac:dyDescent="0.4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</row>
    <row r="1410" spans="1:18" ht="18" x14ac:dyDescent="0.4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</row>
    <row r="1411" spans="1:18" ht="18" x14ac:dyDescent="0.4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</row>
    <row r="1412" spans="1:18" ht="18" x14ac:dyDescent="0.4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</row>
    <row r="1413" spans="1:18" ht="18" x14ac:dyDescent="0.4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</row>
    <row r="1414" spans="1:18" ht="18" x14ac:dyDescent="0.4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</row>
    <row r="1415" spans="1:18" ht="18" x14ac:dyDescent="0.4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</row>
    <row r="1416" spans="1:18" ht="18" x14ac:dyDescent="0.4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</row>
    <row r="1417" spans="1:18" ht="18" x14ac:dyDescent="0.4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</row>
    <row r="1418" spans="1:18" ht="18" x14ac:dyDescent="0.4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</row>
    <row r="1419" spans="1:18" ht="18" x14ac:dyDescent="0.4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</row>
    <row r="1420" spans="1:18" ht="18" x14ac:dyDescent="0.4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</row>
    <row r="1421" spans="1:18" ht="18" x14ac:dyDescent="0.4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</row>
    <row r="1422" spans="1:18" ht="18" x14ac:dyDescent="0.4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</row>
    <row r="1423" spans="1:18" ht="18" x14ac:dyDescent="0.4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</row>
    <row r="1424" spans="1:18" ht="18" x14ac:dyDescent="0.4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</row>
    <row r="1425" spans="1:18" ht="18" x14ac:dyDescent="0.4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</row>
    <row r="1426" spans="1:18" ht="18" x14ac:dyDescent="0.4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</row>
    <row r="1427" spans="1:18" ht="18" x14ac:dyDescent="0.4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</row>
    <row r="1428" spans="1:18" ht="18" x14ac:dyDescent="0.4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</row>
    <row r="1429" spans="1:18" ht="18" x14ac:dyDescent="0.4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</row>
    <row r="1430" spans="1:18" ht="18" x14ac:dyDescent="0.4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</row>
    <row r="1431" spans="1:18" ht="18" x14ac:dyDescent="0.4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</row>
    <row r="1432" spans="1:18" ht="18" x14ac:dyDescent="0.4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</row>
    <row r="1433" spans="1:18" ht="18" x14ac:dyDescent="0.4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</row>
    <row r="1434" spans="1:18" ht="18" x14ac:dyDescent="0.4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</row>
    <row r="1435" spans="1:18" ht="18" x14ac:dyDescent="0.4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</row>
    <row r="1436" spans="1:18" ht="18" x14ac:dyDescent="0.4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</row>
    <row r="1437" spans="1:18" ht="18" x14ac:dyDescent="0.4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</row>
    <row r="1438" spans="1:18" ht="18" x14ac:dyDescent="0.4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</row>
    <row r="1439" spans="1:18" ht="18" x14ac:dyDescent="0.4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</row>
    <row r="1440" spans="1:18" ht="18" x14ac:dyDescent="0.4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</row>
    <row r="1441" spans="1:18" ht="18" x14ac:dyDescent="0.4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</row>
    <row r="1442" spans="1:18" ht="18" x14ac:dyDescent="0.4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</row>
    <row r="1443" spans="1:18" ht="18" x14ac:dyDescent="0.4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</row>
    <row r="1444" spans="1:18" ht="18" x14ac:dyDescent="0.4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</row>
    <row r="1445" spans="1:18" ht="18" x14ac:dyDescent="0.4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</row>
    <row r="1446" spans="1:18" ht="18" x14ac:dyDescent="0.4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</row>
    <row r="1447" spans="1:18" ht="18" x14ac:dyDescent="0.4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</row>
    <row r="1448" spans="1:18" ht="18" x14ac:dyDescent="0.4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</row>
    <row r="1449" spans="1:18" ht="18" x14ac:dyDescent="0.4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</row>
    <row r="1450" spans="1:18" ht="18" x14ac:dyDescent="0.4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</row>
    <row r="1451" spans="1:18" ht="18" x14ac:dyDescent="0.4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</row>
    <row r="1452" spans="1:18" ht="18" x14ac:dyDescent="0.4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</row>
    <row r="1453" spans="1:18" ht="18" x14ac:dyDescent="0.4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</row>
    <row r="1454" spans="1:18" ht="18" x14ac:dyDescent="0.4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</row>
    <row r="1455" spans="1:18" ht="18" x14ac:dyDescent="0.4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</row>
    <row r="1456" spans="1:18" ht="18" x14ac:dyDescent="0.4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</row>
    <row r="1457" spans="1:18" ht="18" x14ac:dyDescent="0.4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</row>
    <row r="1458" spans="1:18" ht="18" x14ac:dyDescent="0.4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</row>
    <row r="1459" spans="1:18" ht="18" x14ac:dyDescent="0.4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</row>
    <row r="1460" spans="1:18" ht="18" x14ac:dyDescent="0.4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</row>
    <row r="1461" spans="1:18" ht="18" x14ac:dyDescent="0.4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</row>
    <row r="1462" spans="1:18" ht="18" x14ac:dyDescent="0.4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</row>
    <row r="1463" spans="1:18" ht="18" x14ac:dyDescent="0.4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</row>
    <row r="1464" spans="1:18" ht="18" x14ac:dyDescent="0.4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</row>
    <row r="1465" spans="1:18" ht="18" x14ac:dyDescent="0.4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</row>
    <row r="1466" spans="1:18" ht="18" x14ac:dyDescent="0.4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</row>
    <row r="1467" spans="1:18" ht="18" x14ac:dyDescent="0.4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</row>
    <row r="1468" spans="1:18" ht="18" x14ac:dyDescent="0.4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</row>
    <row r="1469" spans="1:18" ht="18" x14ac:dyDescent="0.4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</row>
    <row r="1470" spans="1:18" ht="18" x14ac:dyDescent="0.4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</row>
    <row r="1471" spans="1:18" ht="18" x14ac:dyDescent="0.4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</row>
    <row r="1472" spans="1:18" ht="18" x14ac:dyDescent="0.4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</row>
    <row r="1473" spans="1:18" ht="18" x14ac:dyDescent="0.4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</row>
    <row r="1474" spans="1:18" ht="18" x14ac:dyDescent="0.4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</row>
    <row r="1475" spans="1:18" ht="18" x14ac:dyDescent="0.4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</row>
    <row r="1476" spans="1:18" ht="18" x14ac:dyDescent="0.4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</row>
    <row r="1477" spans="1:18" ht="18" x14ac:dyDescent="0.4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</row>
    <row r="1478" spans="1:18" ht="18" x14ac:dyDescent="0.4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</row>
    <row r="1479" spans="1:18" ht="18" x14ac:dyDescent="0.4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</row>
    <row r="1480" spans="1:18" ht="18" x14ac:dyDescent="0.4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</row>
    <row r="1481" spans="1:18" ht="18" x14ac:dyDescent="0.4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</row>
    <row r="1482" spans="1:18" ht="18" x14ac:dyDescent="0.4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</row>
    <row r="1483" spans="1:18" ht="18" x14ac:dyDescent="0.4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</row>
    <row r="1484" spans="1:18" ht="18" x14ac:dyDescent="0.4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</row>
    <row r="1485" spans="1:18" ht="18" x14ac:dyDescent="0.4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</row>
    <row r="1486" spans="1:18" ht="18" x14ac:dyDescent="0.4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</row>
    <row r="1487" spans="1:18" ht="18" x14ac:dyDescent="0.4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</row>
    <row r="1488" spans="1:18" ht="18" x14ac:dyDescent="0.4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</row>
    <row r="1489" spans="1:18" ht="18" x14ac:dyDescent="0.4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</row>
    <row r="1490" spans="1:18" ht="18" x14ac:dyDescent="0.4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</row>
    <row r="1491" spans="1:18" ht="18" x14ac:dyDescent="0.4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</row>
    <row r="1492" spans="1:18" ht="18" x14ac:dyDescent="0.4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</row>
    <row r="1493" spans="1:18" ht="18" x14ac:dyDescent="0.4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</row>
    <row r="1494" spans="1:18" ht="18" x14ac:dyDescent="0.4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</row>
    <row r="1495" spans="1:18" ht="18" x14ac:dyDescent="0.4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</row>
    <row r="1496" spans="1:18" ht="18" x14ac:dyDescent="0.4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</row>
    <row r="1497" spans="1:18" ht="18" x14ac:dyDescent="0.4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</row>
    <row r="1498" spans="1:18" ht="18" x14ac:dyDescent="0.4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</row>
    <row r="1499" spans="1:18" ht="18" x14ac:dyDescent="0.4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</row>
    <row r="1500" spans="1:18" ht="18" x14ac:dyDescent="0.4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</row>
    <row r="1501" spans="1:18" ht="18" x14ac:dyDescent="0.4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</row>
    <row r="1502" spans="1:18" ht="18" x14ac:dyDescent="0.4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</row>
    <row r="1503" spans="1:18" ht="18" x14ac:dyDescent="0.4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</row>
    <row r="1504" spans="1:18" ht="18" x14ac:dyDescent="0.4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</row>
    <row r="1505" spans="1:18" ht="18" x14ac:dyDescent="0.4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</row>
    <row r="1506" spans="1:18" ht="18" x14ac:dyDescent="0.4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</row>
    <row r="1507" spans="1:18" ht="18" x14ac:dyDescent="0.4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</row>
    <row r="1508" spans="1:18" ht="18" x14ac:dyDescent="0.4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</row>
    <row r="1509" spans="1:18" ht="18" x14ac:dyDescent="0.4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</row>
    <row r="1510" spans="1:18" ht="18" x14ac:dyDescent="0.4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</row>
    <row r="1511" spans="1:18" ht="18" x14ac:dyDescent="0.4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</row>
    <row r="1512" spans="1:18" ht="18" x14ac:dyDescent="0.4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</row>
    <row r="1513" spans="1:18" ht="18" x14ac:dyDescent="0.4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</row>
    <row r="1514" spans="1:18" ht="18" x14ac:dyDescent="0.4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</row>
    <row r="1515" spans="1:18" ht="18" x14ac:dyDescent="0.4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</row>
    <row r="1516" spans="1:18" ht="18" x14ac:dyDescent="0.4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</row>
    <row r="1517" spans="1:18" ht="18" x14ac:dyDescent="0.4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</row>
    <row r="1518" spans="1:18" ht="18" x14ac:dyDescent="0.4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</row>
    <row r="1519" spans="1:18" ht="18" x14ac:dyDescent="0.4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</row>
    <row r="1520" spans="1:18" ht="18" x14ac:dyDescent="0.4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</row>
    <row r="1521" spans="1:18" ht="18" x14ac:dyDescent="0.4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</row>
    <row r="1522" spans="1:18" ht="18" x14ac:dyDescent="0.4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</row>
    <row r="1523" spans="1:18" ht="18" x14ac:dyDescent="0.4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</row>
    <row r="1524" spans="1:18" ht="18" x14ac:dyDescent="0.4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</row>
    <row r="1525" spans="1:18" ht="18" x14ac:dyDescent="0.4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</row>
    <row r="1526" spans="1:18" ht="18" x14ac:dyDescent="0.4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</row>
    <row r="1527" spans="1:18" ht="18" x14ac:dyDescent="0.4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</row>
    <row r="1528" spans="1:18" ht="18" x14ac:dyDescent="0.4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</row>
    <row r="1529" spans="1:18" ht="18" x14ac:dyDescent="0.4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</row>
    <row r="1530" spans="1:18" ht="18" x14ac:dyDescent="0.4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</row>
    <row r="1531" spans="1:18" ht="18" x14ac:dyDescent="0.4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</row>
    <row r="1532" spans="1:18" ht="18" x14ac:dyDescent="0.4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</row>
    <row r="1533" spans="1:18" ht="18" x14ac:dyDescent="0.4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</row>
    <row r="1534" spans="1:18" ht="18" x14ac:dyDescent="0.4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</row>
    <row r="1535" spans="1:18" ht="18" x14ac:dyDescent="0.4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</row>
    <row r="1536" spans="1:18" ht="18" x14ac:dyDescent="0.4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</row>
    <row r="1537" spans="1:18" ht="18" x14ac:dyDescent="0.4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</row>
    <row r="1538" spans="1:18" ht="18" x14ac:dyDescent="0.4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</row>
    <row r="1539" spans="1:18" ht="18" x14ac:dyDescent="0.4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</row>
    <row r="1540" spans="1:18" ht="18" x14ac:dyDescent="0.4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</row>
    <row r="1541" spans="1:18" ht="18" x14ac:dyDescent="0.4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</row>
    <row r="1542" spans="1:18" ht="18" x14ac:dyDescent="0.4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</row>
    <row r="1543" spans="1:18" ht="18" x14ac:dyDescent="0.4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</row>
    <row r="1544" spans="1:18" ht="18" x14ac:dyDescent="0.4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</row>
    <row r="1545" spans="1:18" ht="18" x14ac:dyDescent="0.4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</row>
    <row r="1546" spans="1:18" ht="18" x14ac:dyDescent="0.4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</row>
    <row r="1547" spans="1:18" ht="18" x14ac:dyDescent="0.4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</row>
    <row r="1548" spans="1:18" ht="18" x14ac:dyDescent="0.4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</row>
    <row r="1549" spans="1:18" ht="18" x14ac:dyDescent="0.4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</row>
    <row r="1550" spans="1:18" ht="18" x14ac:dyDescent="0.4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</row>
    <row r="1551" spans="1:18" ht="18" x14ac:dyDescent="0.4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</row>
    <row r="1552" spans="1:18" ht="18" x14ac:dyDescent="0.4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</row>
    <row r="1553" spans="1:18" ht="18" x14ac:dyDescent="0.4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</row>
    <row r="1554" spans="1:18" ht="18" x14ac:dyDescent="0.4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</row>
    <row r="1555" spans="1:18" ht="18" x14ac:dyDescent="0.4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</row>
    <row r="1556" spans="1:18" ht="18" x14ac:dyDescent="0.4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</row>
    <row r="1557" spans="1:18" ht="18" x14ac:dyDescent="0.4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</row>
    <row r="1558" spans="1:18" ht="18" x14ac:dyDescent="0.4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</row>
    <row r="1559" spans="1:18" ht="18" x14ac:dyDescent="0.4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</row>
    <row r="1560" spans="1:18" ht="18" x14ac:dyDescent="0.4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</row>
    <row r="1561" spans="1:18" ht="18" x14ac:dyDescent="0.4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</row>
    <row r="1562" spans="1:18" ht="18" x14ac:dyDescent="0.4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</row>
    <row r="1563" spans="1:18" ht="18" x14ac:dyDescent="0.4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</row>
    <row r="1564" spans="1:18" ht="18" x14ac:dyDescent="0.4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</row>
    <row r="1565" spans="1:18" ht="18" x14ac:dyDescent="0.4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</row>
    <row r="1566" spans="1:18" ht="18" x14ac:dyDescent="0.4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</row>
    <row r="1567" spans="1:18" ht="18" x14ac:dyDescent="0.4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</row>
    <row r="1568" spans="1:18" ht="18" x14ac:dyDescent="0.4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</row>
    <row r="1569" spans="1:18" ht="18" x14ac:dyDescent="0.4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</row>
    <row r="1570" spans="1:18" ht="18" x14ac:dyDescent="0.4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</row>
    <row r="1571" spans="1:18" ht="18" x14ac:dyDescent="0.4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</row>
    <row r="1572" spans="1:18" ht="18" x14ac:dyDescent="0.4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</row>
    <row r="1573" spans="1:18" ht="18" x14ac:dyDescent="0.4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</row>
    <row r="1574" spans="1:18" ht="18" x14ac:dyDescent="0.4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</row>
    <row r="1575" spans="1:18" ht="18" x14ac:dyDescent="0.4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</row>
    <row r="1576" spans="1:18" ht="18" x14ac:dyDescent="0.4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</row>
    <row r="1577" spans="1:18" ht="18" x14ac:dyDescent="0.4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</row>
    <row r="1578" spans="1:18" ht="18" x14ac:dyDescent="0.4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</row>
    <row r="1579" spans="1:18" ht="18" x14ac:dyDescent="0.4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</row>
    <row r="1580" spans="1:18" ht="18" x14ac:dyDescent="0.4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</row>
    <row r="1581" spans="1:18" ht="18" x14ac:dyDescent="0.4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</row>
    <row r="1582" spans="1:18" ht="18" x14ac:dyDescent="0.4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</row>
    <row r="1583" spans="1:18" ht="18" x14ac:dyDescent="0.4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</row>
    <row r="1584" spans="1:18" ht="18" x14ac:dyDescent="0.4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</row>
    <row r="1585" spans="1:18" ht="18" x14ac:dyDescent="0.4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</row>
    <row r="1586" spans="1:18" ht="18" x14ac:dyDescent="0.4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</row>
    <row r="1587" spans="1:18" ht="18" x14ac:dyDescent="0.4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</row>
    <row r="1588" spans="1:18" ht="18" x14ac:dyDescent="0.4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</row>
    <row r="1589" spans="1:18" ht="18" x14ac:dyDescent="0.4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</row>
    <row r="1590" spans="1:18" ht="18" x14ac:dyDescent="0.4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</row>
    <row r="1591" spans="1:18" ht="18" x14ac:dyDescent="0.4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</row>
    <row r="1592" spans="1:18" ht="18" x14ac:dyDescent="0.4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</row>
    <row r="1593" spans="1:18" ht="18" x14ac:dyDescent="0.4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</row>
    <row r="1594" spans="1:18" ht="18" x14ac:dyDescent="0.4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</row>
    <row r="1595" spans="1:18" ht="18" x14ac:dyDescent="0.4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</row>
    <row r="1596" spans="1:18" ht="18" x14ac:dyDescent="0.4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</row>
    <row r="1597" spans="1:18" ht="18" x14ac:dyDescent="0.4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</row>
    <row r="1598" spans="1:18" ht="18" x14ac:dyDescent="0.4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</row>
    <row r="1599" spans="1:18" ht="18" x14ac:dyDescent="0.4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</row>
    <row r="1600" spans="1:18" ht="18" x14ac:dyDescent="0.4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</row>
    <row r="1601" spans="1:18" ht="18" x14ac:dyDescent="0.4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</row>
    <row r="1602" spans="1:18" ht="18" x14ac:dyDescent="0.4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</row>
    <row r="1603" spans="1:18" ht="18" x14ac:dyDescent="0.4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</row>
    <row r="1604" spans="1:18" ht="18" x14ac:dyDescent="0.4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</row>
    <row r="1605" spans="1:18" ht="18" x14ac:dyDescent="0.4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</row>
    <row r="1606" spans="1:18" ht="18" x14ac:dyDescent="0.4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</row>
    <row r="1607" spans="1:18" ht="18" x14ac:dyDescent="0.4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</row>
    <row r="1608" spans="1:18" ht="18" x14ac:dyDescent="0.4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</row>
    <row r="1609" spans="1:18" ht="18" x14ac:dyDescent="0.4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</row>
    <row r="1610" spans="1:18" ht="18" x14ac:dyDescent="0.4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</row>
    <row r="1611" spans="1:18" ht="18" x14ac:dyDescent="0.4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</row>
    <row r="1612" spans="1:18" ht="18" x14ac:dyDescent="0.4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</row>
    <row r="1613" spans="1:18" ht="18" x14ac:dyDescent="0.4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</row>
    <row r="1614" spans="1:18" ht="18" x14ac:dyDescent="0.4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</row>
    <row r="1615" spans="1:18" ht="18" x14ac:dyDescent="0.4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</row>
    <row r="1616" spans="1:18" ht="18" x14ac:dyDescent="0.4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</row>
    <row r="1617" spans="1:18" ht="18" x14ac:dyDescent="0.4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</row>
    <row r="1618" spans="1:18" ht="18" x14ac:dyDescent="0.4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</row>
    <row r="1619" spans="1:18" ht="18" x14ac:dyDescent="0.4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</row>
    <row r="1620" spans="1:18" ht="18" x14ac:dyDescent="0.4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</row>
    <row r="1621" spans="1:18" ht="18" x14ac:dyDescent="0.4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</row>
    <row r="1622" spans="1:18" ht="18" x14ac:dyDescent="0.4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</row>
    <row r="1623" spans="1:18" ht="18" x14ac:dyDescent="0.4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</row>
    <row r="1624" spans="1:18" ht="18" x14ac:dyDescent="0.4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</row>
    <row r="1625" spans="1:18" ht="18" x14ac:dyDescent="0.4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</row>
    <row r="1626" spans="1:18" ht="18" x14ac:dyDescent="0.4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</row>
    <row r="1627" spans="1:18" ht="18" x14ac:dyDescent="0.4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</row>
    <row r="1628" spans="1:18" ht="18" x14ac:dyDescent="0.4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</row>
    <row r="1629" spans="1:18" ht="18" x14ac:dyDescent="0.4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</row>
    <row r="1630" spans="1:18" ht="18" x14ac:dyDescent="0.4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</row>
    <row r="1631" spans="1:18" ht="18" x14ac:dyDescent="0.4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</row>
    <row r="1632" spans="1:18" ht="18" x14ac:dyDescent="0.4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</row>
    <row r="1633" spans="1:18" ht="18" x14ac:dyDescent="0.4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</row>
    <row r="1634" spans="1:18" ht="18" x14ac:dyDescent="0.4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</row>
    <row r="1635" spans="1:18" ht="18" x14ac:dyDescent="0.4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</row>
    <row r="1636" spans="1:18" ht="18" x14ac:dyDescent="0.4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</row>
    <row r="1637" spans="1:18" ht="18" x14ac:dyDescent="0.4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</row>
    <row r="1638" spans="1:18" ht="18" x14ac:dyDescent="0.4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</row>
    <row r="1639" spans="1:18" ht="18" x14ac:dyDescent="0.4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</row>
    <row r="1640" spans="1:18" ht="18" x14ac:dyDescent="0.4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</row>
    <row r="1641" spans="1:18" ht="18" x14ac:dyDescent="0.4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</row>
    <row r="1642" spans="1:18" ht="18" x14ac:dyDescent="0.4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</row>
    <row r="1643" spans="1:18" ht="18" x14ac:dyDescent="0.4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</row>
    <row r="1644" spans="1:18" ht="18" x14ac:dyDescent="0.4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</row>
    <row r="1645" spans="1:18" ht="18" x14ac:dyDescent="0.4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</row>
    <row r="1646" spans="1:18" ht="18" x14ac:dyDescent="0.4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</row>
    <row r="1647" spans="1:18" ht="18" x14ac:dyDescent="0.4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</row>
    <row r="1648" spans="1:18" ht="18" x14ac:dyDescent="0.4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</row>
    <row r="1649" spans="1:18" ht="18" x14ac:dyDescent="0.4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</row>
    <row r="1650" spans="1:18" ht="18" x14ac:dyDescent="0.4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</row>
    <row r="1651" spans="1:18" ht="18" x14ac:dyDescent="0.4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</row>
    <row r="1652" spans="1:18" ht="18" x14ac:dyDescent="0.4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</row>
    <row r="1653" spans="1:18" ht="18" x14ac:dyDescent="0.4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</row>
    <row r="1654" spans="1:18" ht="18" x14ac:dyDescent="0.4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</row>
    <row r="1655" spans="1:18" ht="18" x14ac:dyDescent="0.4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</row>
    <row r="1656" spans="1:18" ht="18" x14ac:dyDescent="0.4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</row>
    <row r="1657" spans="1:18" ht="18" x14ac:dyDescent="0.4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</row>
    <row r="1658" spans="1:18" ht="18" x14ac:dyDescent="0.4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</row>
    <row r="1659" spans="1:18" ht="18" x14ac:dyDescent="0.4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</row>
    <row r="1660" spans="1:18" ht="18" x14ac:dyDescent="0.4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</row>
    <row r="1661" spans="1:18" ht="18" x14ac:dyDescent="0.4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</row>
    <row r="1662" spans="1:18" ht="18" x14ac:dyDescent="0.4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</row>
    <row r="1663" spans="1:18" ht="18" x14ac:dyDescent="0.4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</row>
    <row r="1664" spans="1:18" ht="18" x14ac:dyDescent="0.4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</row>
    <row r="1665" spans="1:18" ht="18" x14ac:dyDescent="0.4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</row>
    <row r="1666" spans="1:18" ht="18" x14ac:dyDescent="0.4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</row>
    <row r="1667" spans="1:18" ht="18" x14ac:dyDescent="0.4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</row>
    <row r="1668" spans="1:18" ht="18" x14ac:dyDescent="0.4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</row>
    <row r="1669" spans="1:18" ht="18" x14ac:dyDescent="0.4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</row>
    <row r="1670" spans="1:18" ht="18" x14ac:dyDescent="0.4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</row>
    <row r="1671" spans="1:18" ht="18" x14ac:dyDescent="0.4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</row>
    <row r="1672" spans="1:18" ht="18" x14ac:dyDescent="0.4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</row>
    <row r="1673" spans="1:18" ht="18" x14ac:dyDescent="0.4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</row>
    <row r="1674" spans="1:18" ht="18" x14ac:dyDescent="0.4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</row>
    <row r="1675" spans="1:18" ht="18" x14ac:dyDescent="0.4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</row>
    <row r="1676" spans="1:18" ht="18" x14ac:dyDescent="0.4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</row>
    <row r="1677" spans="1:18" ht="18" x14ac:dyDescent="0.4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</row>
    <row r="1678" spans="1:18" ht="18" x14ac:dyDescent="0.4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</row>
    <row r="1679" spans="1:18" ht="18" x14ac:dyDescent="0.4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</row>
    <row r="1680" spans="1:18" ht="18" x14ac:dyDescent="0.4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</row>
    <row r="1681" spans="1:18" ht="18" x14ac:dyDescent="0.4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</row>
    <row r="1682" spans="1:18" ht="18" x14ac:dyDescent="0.4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</row>
    <row r="1683" spans="1:18" ht="18" x14ac:dyDescent="0.4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</row>
    <row r="1684" spans="1:18" ht="18" x14ac:dyDescent="0.4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</row>
    <row r="1685" spans="1:18" ht="18" x14ac:dyDescent="0.4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</row>
    <row r="1686" spans="1:18" ht="18" x14ac:dyDescent="0.4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</row>
    <row r="1687" spans="1:18" ht="18" x14ac:dyDescent="0.4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</row>
    <row r="1688" spans="1:18" ht="18" x14ac:dyDescent="0.4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</row>
    <row r="1689" spans="1:18" ht="18" x14ac:dyDescent="0.4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</row>
    <row r="1690" spans="1:18" ht="18" x14ac:dyDescent="0.4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</row>
    <row r="1691" spans="1:18" ht="18" x14ac:dyDescent="0.4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</row>
    <row r="1692" spans="1:18" ht="18" x14ac:dyDescent="0.4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</row>
    <row r="1693" spans="1:18" ht="18" x14ac:dyDescent="0.4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</row>
    <row r="1694" spans="1:18" ht="18" x14ac:dyDescent="0.4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</row>
    <row r="1695" spans="1:18" ht="18" x14ac:dyDescent="0.4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</row>
    <row r="1696" spans="1:18" ht="18" x14ac:dyDescent="0.4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</row>
    <row r="1697" spans="1:18" ht="18" x14ac:dyDescent="0.4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</row>
    <row r="1698" spans="1:18" ht="18" x14ac:dyDescent="0.4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</row>
    <row r="1699" spans="1:18" ht="18" x14ac:dyDescent="0.4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</row>
    <row r="1700" spans="1:18" ht="18" x14ac:dyDescent="0.4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</row>
    <row r="1701" spans="1:18" ht="18" x14ac:dyDescent="0.4"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</row>
  </sheetData>
  <mergeCells count="51">
    <mergeCell ref="A194:H194"/>
    <mergeCell ref="A179:H179"/>
    <mergeCell ref="A180:H180"/>
    <mergeCell ref="A186:H186"/>
    <mergeCell ref="A187:H187"/>
    <mergeCell ref="A193:H193"/>
    <mergeCell ref="A159:H159"/>
    <mergeCell ref="A165:H165"/>
    <mergeCell ref="A166:H166"/>
    <mergeCell ref="A172:H172"/>
    <mergeCell ref="A173:H173"/>
    <mergeCell ref="A144:H144"/>
    <mergeCell ref="A145:H145"/>
    <mergeCell ref="A151:H151"/>
    <mergeCell ref="A152:H152"/>
    <mergeCell ref="A158:H158"/>
    <mergeCell ref="A124:H124"/>
    <mergeCell ref="A130:H130"/>
    <mergeCell ref="A131:H131"/>
    <mergeCell ref="A137:H137"/>
    <mergeCell ref="A138:H138"/>
    <mergeCell ref="A109:H109"/>
    <mergeCell ref="A110:H110"/>
    <mergeCell ref="A116:H116"/>
    <mergeCell ref="A117:H117"/>
    <mergeCell ref="A123:H123"/>
    <mergeCell ref="A87:H87"/>
    <mergeCell ref="A93:H93"/>
    <mergeCell ref="A94:H94"/>
    <mergeCell ref="A100:H100"/>
    <mergeCell ref="A101:H101"/>
    <mergeCell ref="A72:H72"/>
    <mergeCell ref="A73:H73"/>
    <mergeCell ref="A79:H79"/>
    <mergeCell ref="A80:H80"/>
    <mergeCell ref="A86:H86"/>
    <mergeCell ref="A1:H1"/>
    <mergeCell ref="A10:H10"/>
    <mergeCell ref="A11:H11"/>
    <mergeCell ref="A49:H49"/>
    <mergeCell ref="A50:H50"/>
    <mergeCell ref="A25:H25"/>
    <mergeCell ref="A24:H24"/>
    <mergeCell ref="A40:H40"/>
    <mergeCell ref="A39:H39"/>
    <mergeCell ref="A56:H56"/>
    <mergeCell ref="A57:H57"/>
    <mergeCell ref="A63:H63"/>
    <mergeCell ref="A64:H64"/>
    <mergeCell ref="A2:H2"/>
    <mergeCell ref="A3:H3"/>
  </mergeCells>
  <phoneticPr fontId="3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410C1-3CBA-4E48-B1D9-DA02E3FB441B}">
  <dimension ref="A1:Q449"/>
  <sheetViews>
    <sheetView workbookViewId="0">
      <selection activeCell="B13" sqref="B13"/>
    </sheetView>
  </sheetViews>
  <sheetFormatPr defaultRowHeight="14.5" x14ac:dyDescent="0.35"/>
  <cols>
    <col min="2" max="2" width="28.26953125" customWidth="1"/>
    <col min="3" max="3" width="17.54296875" customWidth="1"/>
    <col min="4" max="4" width="16.90625" customWidth="1"/>
    <col min="6" max="6" width="11.1796875" bestFit="1" customWidth="1"/>
  </cols>
  <sheetData>
    <row r="1" spans="1:17" ht="18" x14ac:dyDescent="0.4">
      <c r="A1" s="148" t="s">
        <v>338</v>
      </c>
      <c r="B1" s="148"/>
      <c r="C1" s="148"/>
      <c r="D1" s="148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18.5" thickBot="1" x14ac:dyDescent="0.4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18.5" thickBot="1" x14ac:dyDescent="0.45">
      <c r="A3" s="62" t="s">
        <v>203</v>
      </c>
      <c r="B3" s="63" t="s">
        <v>3</v>
      </c>
      <c r="C3" s="39" t="s">
        <v>42</v>
      </c>
      <c r="D3" s="63" t="s">
        <v>43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18" x14ac:dyDescent="0.4">
      <c r="A4" s="45">
        <v>1</v>
      </c>
      <c r="B4" s="48" t="s">
        <v>44</v>
      </c>
      <c r="C4" s="55">
        <v>3312000</v>
      </c>
      <c r="D4" s="51" t="s">
        <v>217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18" x14ac:dyDescent="0.4">
      <c r="A5" s="46">
        <v>2</v>
      </c>
      <c r="B5" s="49" t="s">
        <v>46</v>
      </c>
      <c r="C5" s="56">
        <v>2985000</v>
      </c>
      <c r="D5" s="52" t="s">
        <v>217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18" x14ac:dyDescent="0.4">
      <c r="A6" s="46">
        <v>3</v>
      </c>
      <c r="B6" s="49" t="s">
        <v>51</v>
      </c>
      <c r="C6" s="56">
        <v>675000</v>
      </c>
      <c r="D6" s="52" t="s">
        <v>217</v>
      </c>
      <c r="E6" s="1"/>
      <c r="F6" s="36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ht="18" x14ac:dyDescent="0.4">
      <c r="A7" s="46">
        <v>4</v>
      </c>
      <c r="B7" s="49" t="s">
        <v>105</v>
      </c>
      <c r="C7" s="57" t="s">
        <v>217</v>
      </c>
      <c r="D7" s="52" t="s">
        <v>217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ht="18" x14ac:dyDescent="0.4">
      <c r="A8" s="46">
        <v>5</v>
      </c>
      <c r="B8" s="49" t="s">
        <v>175</v>
      </c>
      <c r="C8" s="56">
        <v>55000</v>
      </c>
      <c r="D8" s="52" t="s">
        <v>217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ht="18" x14ac:dyDescent="0.4">
      <c r="A9" s="46">
        <v>6</v>
      </c>
      <c r="B9" s="49" t="s">
        <v>80</v>
      </c>
      <c r="C9" s="57" t="s">
        <v>217</v>
      </c>
      <c r="D9" s="53">
        <v>120000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ht="18" x14ac:dyDescent="0.4">
      <c r="A10" s="46">
        <v>7</v>
      </c>
      <c r="B10" s="49" t="s">
        <v>181</v>
      </c>
      <c r="C10" s="56">
        <v>42000</v>
      </c>
      <c r="D10" s="52" t="s">
        <v>217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ht="18" x14ac:dyDescent="0.4">
      <c r="A11" s="46">
        <v>8</v>
      </c>
      <c r="B11" s="49" t="s">
        <v>65</v>
      </c>
      <c r="C11" s="56">
        <v>20000</v>
      </c>
      <c r="D11" s="52" t="s">
        <v>217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ht="18" x14ac:dyDescent="0.4">
      <c r="A12" s="46">
        <v>9</v>
      </c>
      <c r="B12" s="49" t="s">
        <v>69</v>
      </c>
      <c r="C12" s="56">
        <v>10000</v>
      </c>
      <c r="D12" s="52" t="s">
        <v>217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ht="18" x14ac:dyDescent="0.4">
      <c r="A13" s="46">
        <v>10</v>
      </c>
      <c r="B13" s="49" t="s">
        <v>339</v>
      </c>
      <c r="C13" s="57" t="s">
        <v>217</v>
      </c>
      <c r="D13" s="53">
        <v>30000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ht="18" x14ac:dyDescent="0.4">
      <c r="A14" s="46">
        <v>11</v>
      </c>
      <c r="B14" s="49" t="s">
        <v>204</v>
      </c>
      <c r="C14" s="57" t="s">
        <v>217</v>
      </c>
      <c r="D14" s="53">
        <v>660000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ht="18" x14ac:dyDescent="0.4">
      <c r="A15" s="46">
        <v>12</v>
      </c>
      <c r="B15" s="49" t="s">
        <v>77</v>
      </c>
      <c r="C15" s="56">
        <v>15000</v>
      </c>
      <c r="D15" s="52" t="s">
        <v>217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ht="18" x14ac:dyDescent="0.4">
      <c r="A16" s="46">
        <v>13</v>
      </c>
      <c r="B16" s="49" t="s">
        <v>74</v>
      </c>
      <c r="C16" s="56">
        <v>50000</v>
      </c>
      <c r="D16" s="52" t="s">
        <v>217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ht="18" x14ac:dyDescent="0.4">
      <c r="A17" s="46">
        <v>14</v>
      </c>
      <c r="B17" s="49" t="s">
        <v>84</v>
      </c>
      <c r="C17" s="56">
        <v>5000</v>
      </c>
      <c r="D17" s="52" t="s">
        <v>217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ht="18" x14ac:dyDescent="0.4">
      <c r="A18" s="46">
        <v>15</v>
      </c>
      <c r="B18" s="49" t="s">
        <v>92</v>
      </c>
      <c r="C18" s="56">
        <v>25000</v>
      </c>
      <c r="D18" s="52" t="s">
        <v>217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ht="18" x14ac:dyDescent="0.4">
      <c r="A19" s="46">
        <v>16</v>
      </c>
      <c r="B19" s="49" t="s">
        <v>162</v>
      </c>
      <c r="C19" s="56">
        <v>30000</v>
      </c>
      <c r="D19" s="52" t="s">
        <v>217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ht="18" x14ac:dyDescent="0.4">
      <c r="A20" s="46">
        <v>17</v>
      </c>
      <c r="B20" s="49" t="s">
        <v>102</v>
      </c>
      <c r="C20" s="56">
        <v>213000</v>
      </c>
      <c r="D20" s="52" t="s">
        <v>217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ht="18" x14ac:dyDescent="0.4">
      <c r="A21" s="46">
        <v>18</v>
      </c>
      <c r="B21" s="49" t="s">
        <v>196</v>
      </c>
      <c r="C21" s="56">
        <v>8000</v>
      </c>
      <c r="D21" s="52" t="s">
        <v>217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ht="18" x14ac:dyDescent="0.4">
      <c r="A22" s="46">
        <v>19</v>
      </c>
      <c r="B22" s="49" t="s">
        <v>205</v>
      </c>
      <c r="C22" s="57" t="s">
        <v>217</v>
      </c>
      <c r="D22" s="53">
        <v>6500000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ht="18" x14ac:dyDescent="0.4">
      <c r="A23" s="46">
        <v>20</v>
      </c>
      <c r="B23" s="49" t="s">
        <v>110</v>
      </c>
      <c r="C23" s="56">
        <v>105000</v>
      </c>
      <c r="D23" s="52" t="s">
        <v>217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ht="18" x14ac:dyDescent="0.4">
      <c r="A24" s="46">
        <v>21</v>
      </c>
      <c r="B24" s="49" t="s">
        <v>206</v>
      </c>
      <c r="C24" s="57" t="s">
        <v>217</v>
      </c>
      <c r="D24" s="53">
        <v>300000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ht="18" x14ac:dyDescent="0.4">
      <c r="A25" s="46">
        <v>22</v>
      </c>
      <c r="B25" s="49" t="s">
        <v>119</v>
      </c>
      <c r="C25" s="56">
        <v>8000</v>
      </c>
      <c r="D25" s="52" t="s">
        <v>217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ht="18" x14ac:dyDescent="0.4">
      <c r="A26" s="46">
        <v>23</v>
      </c>
      <c r="B26" s="49" t="s">
        <v>207</v>
      </c>
      <c r="C26" s="57" t="s">
        <v>217</v>
      </c>
      <c r="D26" s="53">
        <v>20000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ht="18" x14ac:dyDescent="0.4">
      <c r="A27" s="46">
        <v>24</v>
      </c>
      <c r="B27" s="49" t="s">
        <v>125</v>
      </c>
      <c r="C27" s="56">
        <v>60000</v>
      </c>
      <c r="D27" s="52" t="s">
        <v>217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ht="18" x14ac:dyDescent="0.4">
      <c r="A28" s="46">
        <v>25</v>
      </c>
      <c r="B28" s="49" t="s">
        <v>128</v>
      </c>
      <c r="C28" s="56">
        <v>12000</v>
      </c>
      <c r="D28" s="52" t="s">
        <v>217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ht="18.5" thickBot="1" x14ac:dyDescent="0.45">
      <c r="A29" s="47"/>
      <c r="B29" s="50"/>
      <c r="C29" s="58"/>
      <c r="D29" s="54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ht="18.5" thickBot="1" x14ac:dyDescent="0.45">
      <c r="A30" s="151" t="s">
        <v>208</v>
      </c>
      <c r="B30" s="152"/>
      <c r="C30" s="60">
        <f>SUM(C4:C28)</f>
        <v>7630000</v>
      </c>
      <c r="D30" s="59">
        <f>SUM(D9:D26)</f>
        <v>7630000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ht="18" x14ac:dyDescent="0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ht="18" x14ac:dyDescent="0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ht="18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ht="18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ht="18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ht="18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ht="18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ht="18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8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ht="18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ht="18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ht="18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ht="18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ht="18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ht="18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ht="18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ht="18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ht="18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ht="18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 ht="18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ht="18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ht="18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ht="18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ht="18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ht="18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 ht="18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 ht="18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 ht="18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 ht="18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 ht="18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 ht="18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 ht="18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 ht="18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 ht="18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 ht="18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 ht="18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 ht="18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 ht="18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 ht="18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 ht="18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ht="18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ht="18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ht="18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ht="18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ht="18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ht="18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 ht="18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 ht="18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 ht="18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ht="18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 ht="18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ht="18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ht="18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ht="18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 ht="18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 ht="18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 ht="18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 ht="18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 ht="18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 ht="18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 ht="18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 ht="18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ht="18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 ht="18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1:17" ht="18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 ht="18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 ht="18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 ht="18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 ht="18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 ht="18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 spans="1:17" ht="18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 spans="1:17" ht="18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 spans="1:17" ht="18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 spans="1:17" ht="18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 spans="1:17" ht="18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 spans="1:17" ht="18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 spans="1:17" ht="18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 spans="1:17" ht="18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spans="1:17" ht="18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 spans="1:17" ht="18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 spans="1:17" ht="18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 spans="1:17" ht="18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 spans="1:17" ht="18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 spans="1:17" ht="18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 spans="1:17" ht="18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 spans="1:17" ht="18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 spans="1:17" ht="18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 spans="1:17" ht="18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 spans="1:17" ht="18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 spans="1:17" ht="18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 spans="1:17" ht="18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 spans="1:17" ht="18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 spans="1:17" ht="18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 spans="1:17" ht="18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 spans="1:17" ht="18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 spans="1:17" ht="18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 spans="1:17" ht="18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 spans="1:17" ht="18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 spans="1:17" ht="18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 spans="1:17" ht="18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 spans="1:17" ht="18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 spans="1:17" ht="18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 spans="1:17" ht="18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 spans="1:17" ht="18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 spans="1:17" ht="18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 spans="1:17" ht="18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 spans="1:17" ht="18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</row>
    <row r="138" spans="1:17" ht="18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</row>
    <row r="139" spans="1:17" ht="18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</row>
    <row r="140" spans="1:17" ht="18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</row>
    <row r="141" spans="1:17" ht="18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</row>
    <row r="142" spans="1:17" ht="18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</row>
    <row r="143" spans="1:17" ht="18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</row>
    <row r="144" spans="1:17" ht="18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</row>
    <row r="145" spans="1:17" ht="18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</row>
    <row r="146" spans="1:17" ht="18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</row>
    <row r="147" spans="1:17" ht="18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</row>
    <row r="148" spans="1:17" ht="18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</row>
    <row r="149" spans="1:17" ht="18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</row>
    <row r="150" spans="1:17" ht="18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</row>
    <row r="151" spans="1:17" ht="18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</row>
    <row r="152" spans="1:17" ht="18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</row>
    <row r="153" spans="1:17" ht="18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</row>
    <row r="154" spans="1:17" ht="18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</row>
    <row r="155" spans="1:17" ht="18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</row>
    <row r="156" spans="1:17" ht="18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</row>
    <row r="157" spans="1:17" ht="18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</row>
    <row r="158" spans="1:17" ht="18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</row>
    <row r="159" spans="1:17" ht="18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</row>
    <row r="160" spans="1:17" ht="18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</row>
    <row r="161" spans="1:17" ht="18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</row>
    <row r="162" spans="1:17" ht="18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</row>
    <row r="163" spans="1:17" ht="18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</row>
    <row r="164" spans="1:17" ht="18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</row>
    <row r="165" spans="1:17" ht="18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</row>
    <row r="166" spans="1:17" ht="18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</row>
    <row r="167" spans="1:17" ht="18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</row>
    <row r="168" spans="1:17" ht="18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</row>
    <row r="169" spans="1:17" ht="18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</row>
    <row r="170" spans="1:17" ht="18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</row>
    <row r="171" spans="1:17" ht="18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</row>
    <row r="172" spans="1:17" ht="18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</row>
    <row r="173" spans="1:17" ht="18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</row>
    <row r="174" spans="1:17" ht="18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</row>
    <row r="175" spans="1:17" ht="18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</row>
    <row r="176" spans="1:17" ht="18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</row>
    <row r="177" spans="1:17" ht="18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</row>
    <row r="178" spans="1:17" ht="18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</row>
    <row r="179" spans="1:17" ht="18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</row>
    <row r="180" spans="1:17" ht="18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</row>
    <row r="181" spans="1:17" ht="18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</row>
    <row r="182" spans="1:17" ht="18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</row>
    <row r="183" spans="1:17" ht="18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</row>
    <row r="184" spans="1:17" ht="18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</row>
    <row r="185" spans="1:17" ht="18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</row>
    <row r="186" spans="1:17" ht="18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</row>
    <row r="187" spans="1:17" ht="18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</row>
    <row r="188" spans="1:17" ht="18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</row>
    <row r="189" spans="1:17" ht="18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</row>
    <row r="190" spans="1:17" ht="18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</row>
    <row r="191" spans="1:17" ht="18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</row>
    <row r="192" spans="1:17" ht="18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</row>
    <row r="193" spans="1:17" ht="18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</row>
    <row r="194" spans="1:17" ht="18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</row>
    <row r="195" spans="1:17" ht="18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</row>
    <row r="196" spans="1:17" ht="18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</row>
    <row r="197" spans="1:17" ht="18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</row>
    <row r="198" spans="1:17" ht="18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</row>
    <row r="199" spans="1:17" ht="18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</row>
    <row r="200" spans="1:17" ht="18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</row>
    <row r="201" spans="1:17" ht="18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</row>
    <row r="202" spans="1:17" ht="18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</row>
    <row r="203" spans="1:17" ht="18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</row>
    <row r="204" spans="1:17" ht="18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</row>
    <row r="205" spans="1:17" ht="18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</row>
    <row r="206" spans="1:17" ht="18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</row>
    <row r="207" spans="1:17" ht="18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</row>
    <row r="208" spans="1:17" ht="18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</row>
    <row r="209" spans="1:17" ht="18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</row>
    <row r="210" spans="1:17" ht="18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</row>
    <row r="211" spans="1:17" ht="18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</row>
    <row r="212" spans="1:17" ht="18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</row>
    <row r="213" spans="1:17" ht="18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</row>
    <row r="214" spans="1:17" ht="18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</row>
    <row r="215" spans="1:17" ht="18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</row>
    <row r="216" spans="1:17" ht="18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</row>
    <row r="217" spans="1:17" ht="18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</row>
    <row r="218" spans="1:17" ht="18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</row>
    <row r="219" spans="1:17" ht="18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</row>
    <row r="220" spans="1:17" ht="18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</row>
    <row r="221" spans="1:17" ht="18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</row>
    <row r="222" spans="1:17" ht="18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</row>
    <row r="223" spans="1:17" ht="18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</row>
    <row r="224" spans="1:17" ht="18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</row>
    <row r="225" spans="1:17" ht="18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</row>
    <row r="226" spans="1:17" ht="18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</row>
    <row r="227" spans="1:17" ht="18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</row>
    <row r="228" spans="1:17" ht="18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</row>
    <row r="229" spans="1:17" ht="18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</row>
    <row r="230" spans="1:17" ht="18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</row>
    <row r="231" spans="1:17" ht="18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</row>
    <row r="232" spans="1:17" ht="18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</row>
    <row r="233" spans="1:17" ht="18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</row>
    <row r="234" spans="1:17" ht="18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</row>
    <row r="235" spans="1:17" ht="18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</row>
    <row r="236" spans="1:17" ht="18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</row>
    <row r="237" spans="1:17" ht="18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</row>
    <row r="238" spans="1:17" ht="18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</row>
    <row r="239" spans="1:17" ht="18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</row>
    <row r="240" spans="1:17" ht="18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</row>
    <row r="241" spans="1:17" ht="18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</row>
    <row r="242" spans="1:17" ht="18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</row>
    <row r="243" spans="1:17" ht="18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</row>
    <row r="244" spans="1:17" ht="18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</row>
    <row r="245" spans="1:17" ht="18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</row>
    <row r="246" spans="1:17" ht="18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</row>
    <row r="247" spans="1:17" ht="18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</row>
    <row r="248" spans="1:17" ht="18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</row>
    <row r="249" spans="1:17" ht="18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</row>
    <row r="250" spans="1:17" ht="18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</row>
    <row r="251" spans="1:17" ht="18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</row>
    <row r="252" spans="1:17" ht="18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</row>
    <row r="253" spans="1:17" ht="18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</row>
    <row r="254" spans="1:17" ht="18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</row>
    <row r="255" spans="1:17" ht="18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</row>
    <row r="256" spans="1:17" ht="18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</row>
    <row r="257" spans="1:17" ht="18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</row>
    <row r="258" spans="1:17" ht="18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</row>
    <row r="259" spans="1:17" ht="18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</row>
    <row r="260" spans="1:17" ht="18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</row>
    <row r="261" spans="1:17" ht="18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</row>
    <row r="262" spans="1:17" ht="18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</row>
    <row r="263" spans="1:17" ht="18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</row>
    <row r="264" spans="1:17" ht="18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</row>
    <row r="265" spans="1:17" ht="18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</row>
    <row r="266" spans="1:17" ht="18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</row>
    <row r="267" spans="1:17" ht="18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</row>
    <row r="268" spans="1:17" ht="18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</row>
    <row r="269" spans="1:17" ht="18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</row>
    <row r="270" spans="1:17" ht="18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</row>
    <row r="271" spans="1:17" ht="18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</row>
    <row r="272" spans="1:17" ht="18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</row>
    <row r="273" spans="1:17" ht="18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</row>
    <row r="274" spans="1:17" ht="18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</row>
    <row r="275" spans="1:17" ht="18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</row>
    <row r="276" spans="1:17" ht="18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</row>
    <row r="277" spans="1:17" ht="18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</row>
    <row r="278" spans="1:17" ht="18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</row>
    <row r="279" spans="1:17" ht="18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</row>
    <row r="280" spans="1:17" ht="18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</row>
    <row r="281" spans="1:17" ht="18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</row>
    <row r="282" spans="1:17" ht="18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</row>
    <row r="283" spans="1:17" ht="18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</row>
    <row r="284" spans="1:17" ht="18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</row>
    <row r="285" spans="1:17" ht="18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</row>
    <row r="286" spans="1:17" ht="18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</row>
    <row r="287" spans="1:17" ht="18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</row>
    <row r="288" spans="1:17" ht="18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</row>
    <row r="289" spans="1:17" ht="18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</row>
    <row r="290" spans="1:17" ht="18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</row>
    <row r="291" spans="1:17" ht="18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</row>
    <row r="292" spans="1:17" ht="18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</row>
    <row r="293" spans="1:17" ht="18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</row>
    <row r="294" spans="1:17" ht="18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</row>
    <row r="295" spans="1:17" ht="18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</row>
    <row r="296" spans="1:17" ht="18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</row>
    <row r="297" spans="1:17" ht="18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</row>
    <row r="298" spans="1:17" ht="18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</row>
    <row r="299" spans="1:17" ht="18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</row>
    <row r="300" spans="1:17" ht="18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</row>
    <row r="301" spans="1:17" ht="18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</row>
    <row r="302" spans="1:17" ht="18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</row>
    <row r="303" spans="1:17" ht="18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</row>
    <row r="304" spans="1:17" ht="18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</row>
    <row r="305" spans="1:17" ht="18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</row>
    <row r="306" spans="1:17" ht="18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</row>
    <row r="307" spans="1:17" ht="18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</row>
    <row r="308" spans="1:17" ht="18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</row>
    <row r="309" spans="1:17" ht="18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</row>
    <row r="310" spans="1:17" ht="18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</row>
    <row r="311" spans="1:17" ht="18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</row>
    <row r="312" spans="1:17" ht="18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</row>
    <row r="313" spans="1:17" ht="18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</row>
    <row r="314" spans="1:17" ht="18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</row>
    <row r="315" spans="1:17" ht="18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</row>
    <row r="316" spans="1:17" ht="18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</row>
    <row r="317" spans="1:17" ht="18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</row>
    <row r="318" spans="1:17" ht="18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</row>
    <row r="319" spans="1:17" ht="18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</row>
    <row r="320" spans="1:17" ht="18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</row>
    <row r="321" spans="1:17" ht="18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</row>
    <row r="322" spans="1:17" ht="18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</row>
    <row r="323" spans="1:17" ht="18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</row>
    <row r="324" spans="1:17" ht="18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</row>
    <row r="325" spans="1:17" ht="18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</row>
    <row r="326" spans="1:17" ht="18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</row>
    <row r="327" spans="1:17" ht="18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</row>
    <row r="328" spans="1:17" ht="18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</row>
    <row r="329" spans="1:17" ht="18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</row>
    <row r="330" spans="1:17" ht="18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</row>
    <row r="331" spans="1:17" ht="18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</row>
    <row r="332" spans="1:17" ht="18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</row>
    <row r="333" spans="1:17" ht="18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</row>
    <row r="334" spans="1:17" ht="18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</row>
    <row r="335" spans="1:17" ht="18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</row>
    <row r="336" spans="1:17" ht="18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</row>
    <row r="337" spans="1:17" ht="18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</row>
    <row r="338" spans="1:17" ht="18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</row>
    <row r="339" spans="1:17" ht="18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</row>
    <row r="340" spans="1:17" ht="18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</row>
    <row r="341" spans="1:17" ht="18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</row>
    <row r="342" spans="1:17" ht="18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</row>
    <row r="343" spans="1:17" ht="18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</row>
    <row r="344" spans="1:17" ht="18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</row>
    <row r="345" spans="1:17" ht="18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</row>
    <row r="346" spans="1:17" ht="18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</row>
    <row r="347" spans="1:17" ht="18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</row>
    <row r="348" spans="1:17" ht="18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</row>
    <row r="349" spans="1:17" ht="18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</row>
    <row r="350" spans="1:17" ht="18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</row>
    <row r="351" spans="1:17" ht="18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</row>
    <row r="352" spans="1:17" ht="18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</row>
    <row r="353" spans="1:17" ht="18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</row>
    <row r="354" spans="1:17" ht="18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</row>
    <row r="355" spans="1:17" ht="18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</row>
    <row r="356" spans="1:17" ht="18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</row>
    <row r="357" spans="1:17" ht="18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</row>
    <row r="358" spans="1:17" ht="18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</row>
    <row r="359" spans="1:17" ht="18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</row>
    <row r="360" spans="1:17" ht="18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</row>
    <row r="361" spans="1:17" ht="18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</row>
    <row r="362" spans="1:17" ht="18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</row>
    <row r="363" spans="1:17" ht="18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</row>
    <row r="364" spans="1:17" ht="18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</row>
    <row r="365" spans="1:17" ht="18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</row>
    <row r="366" spans="1:17" ht="18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</row>
    <row r="367" spans="1:17" ht="18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</row>
    <row r="368" spans="1:17" ht="18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</row>
    <row r="369" spans="1:17" ht="18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</row>
    <row r="370" spans="1:17" ht="18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</row>
    <row r="371" spans="1:17" ht="18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</row>
    <row r="372" spans="1:17" ht="18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</row>
    <row r="373" spans="1:17" ht="18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</row>
    <row r="374" spans="1:17" ht="18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</row>
    <row r="375" spans="1:17" ht="18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</row>
    <row r="376" spans="1:17" ht="18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</row>
    <row r="377" spans="1:17" ht="18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</row>
    <row r="378" spans="1:17" ht="18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</row>
    <row r="379" spans="1:17" ht="18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</row>
    <row r="380" spans="1:17" ht="18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</row>
    <row r="381" spans="1:17" ht="18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</row>
    <row r="382" spans="1:17" ht="18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</row>
    <row r="383" spans="1:17" ht="18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</row>
    <row r="384" spans="1:17" ht="18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</row>
    <row r="385" spans="1:17" ht="18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</row>
    <row r="386" spans="1:17" ht="18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</row>
    <row r="387" spans="1:17" ht="18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</row>
    <row r="388" spans="1:17" ht="18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</row>
    <row r="389" spans="1:17" ht="18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</row>
    <row r="390" spans="1:17" ht="18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</row>
    <row r="391" spans="1:17" ht="18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</row>
    <row r="392" spans="1:17" ht="18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</row>
    <row r="393" spans="1:17" ht="18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</row>
    <row r="394" spans="1:17" ht="18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</row>
    <row r="395" spans="1:17" ht="18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</row>
    <row r="396" spans="1:17" ht="18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</row>
    <row r="397" spans="1:17" ht="18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</row>
    <row r="398" spans="1:17" ht="18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</row>
    <row r="399" spans="1:17" ht="18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</row>
    <row r="400" spans="1:17" ht="18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</row>
    <row r="401" spans="1:17" ht="18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</row>
    <row r="402" spans="1:17" ht="18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</row>
    <row r="403" spans="1:17" ht="18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</row>
    <row r="404" spans="1:17" ht="18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</row>
    <row r="405" spans="1:17" ht="18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</row>
    <row r="406" spans="1:17" ht="18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</row>
    <row r="407" spans="1:17" ht="18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</row>
    <row r="408" spans="1:17" ht="18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</row>
    <row r="409" spans="1:17" ht="18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</row>
    <row r="410" spans="1:17" ht="18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</row>
    <row r="411" spans="1:17" ht="18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</row>
    <row r="412" spans="1:17" ht="18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</row>
    <row r="413" spans="1:17" ht="18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</row>
    <row r="414" spans="1:17" ht="18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</row>
    <row r="415" spans="1:17" ht="18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</row>
    <row r="416" spans="1:17" ht="18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</row>
    <row r="417" spans="1:17" ht="18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</row>
    <row r="418" spans="1:17" ht="18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</row>
    <row r="419" spans="1:17" ht="18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</row>
    <row r="420" spans="1:17" ht="18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</row>
    <row r="421" spans="1:17" ht="18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</row>
    <row r="422" spans="1:17" ht="18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</row>
    <row r="423" spans="1:17" ht="18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</row>
    <row r="424" spans="1:17" ht="18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</row>
    <row r="425" spans="1:17" ht="18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</row>
    <row r="426" spans="1:17" ht="18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</row>
    <row r="427" spans="1:17" ht="18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</row>
    <row r="428" spans="1:17" ht="18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</row>
    <row r="429" spans="1:17" ht="18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</row>
    <row r="430" spans="1:17" ht="18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</row>
    <row r="431" spans="1:17" ht="18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</row>
    <row r="432" spans="1:17" ht="18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</row>
    <row r="433" spans="1:17" ht="18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</row>
    <row r="434" spans="1:17" ht="18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</row>
    <row r="435" spans="1:17" ht="18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</row>
    <row r="436" spans="1:17" ht="18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</row>
    <row r="437" spans="1:17" ht="18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</row>
    <row r="438" spans="1:17" ht="18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</row>
    <row r="439" spans="1:17" ht="18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</row>
    <row r="440" spans="1:17" ht="18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</row>
    <row r="441" spans="1:17" ht="18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</row>
    <row r="442" spans="1:17" ht="18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</row>
    <row r="443" spans="1:17" ht="18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</row>
    <row r="444" spans="1:17" ht="18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</row>
    <row r="445" spans="1:17" ht="18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</row>
    <row r="446" spans="1:17" ht="18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</row>
    <row r="447" spans="1:17" ht="18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</row>
    <row r="448" spans="1:17" ht="18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</row>
    <row r="449" spans="1:17" ht="18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</row>
  </sheetData>
  <mergeCells count="2">
    <mergeCell ref="A1:D1"/>
    <mergeCell ref="A30:B30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08AFC-0A79-490A-A9F3-FADC619823DE}">
  <dimension ref="A1:AD243"/>
  <sheetViews>
    <sheetView workbookViewId="0">
      <selection activeCell="D12" sqref="D12"/>
    </sheetView>
  </sheetViews>
  <sheetFormatPr defaultRowHeight="14.5" x14ac:dyDescent="0.35"/>
  <cols>
    <col min="1" max="1" width="32.90625" customWidth="1"/>
    <col min="2" max="2" width="15.26953125" customWidth="1"/>
    <col min="3" max="3" width="16.26953125" customWidth="1"/>
    <col min="4" max="4" width="26.26953125" customWidth="1"/>
    <col min="5" max="5" width="13.81640625" customWidth="1"/>
    <col min="6" max="6" width="15.90625" customWidth="1"/>
  </cols>
  <sheetData>
    <row r="1" spans="1:30" ht="18" x14ac:dyDescent="0.4">
      <c r="A1" s="148" t="s">
        <v>345</v>
      </c>
      <c r="B1" s="148"/>
      <c r="C1" s="148"/>
      <c r="D1" s="148"/>
      <c r="E1" s="148"/>
      <c r="F1" s="148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18.5" thickBot="1" x14ac:dyDescent="0.45">
      <c r="A2" s="149" t="s">
        <v>209</v>
      </c>
      <c r="B2" s="149"/>
      <c r="C2" s="149"/>
      <c r="D2" s="149"/>
      <c r="E2" s="149"/>
      <c r="F2" s="149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18.5" thickBot="1" x14ac:dyDescent="0.45">
      <c r="A3" s="17" t="s">
        <v>3</v>
      </c>
      <c r="B3" s="18" t="s">
        <v>134</v>
      </c>
      <c r="C3" s="18" t="s">
        <v>134</v>
      </c>
      <c r="D3" s="18" t="s">
        <v>3</v>
      </c>
      <c r="E3" s="18" t="s">
        <v>134</v>
      </c>
      <c r="F3" s="19" t="s">
        <v>134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18" x14ac:dyDescent="0.4">
      <c r="A4" s="20" t="s">
        <v>212</v>
      </c>
      <c r="B4" s="64" t="s">
        <v>218</v>
      </c>
      <c r="C4" s="64" t="s">
        <v>218</v>
      </c>
      <c r="D4" s="21" t="s">
        <v>213</v>
      </c>
      <c r="E4" s="22">
        <v>660000</v>
      </c>
      <c r="F4" s="23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18.5" thickBot="1" x14ac:dyDescent="0.45">
      <c r="A5" s="24" t="s">
        <v>214</v>
      </c>
      <c r="B5" s="26">
        <v>675000</v>
      </c>
      <c r="C5" s="25"/>
      <c r="D5" s="25" t="s">
        <v>215</v>
      </c>
      <c r="E5" s="40">
        <v>50000</v>
      </c>
      <c r="F5" s="28">
        <f>E4-E5</f>
        <v>610000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ht="18.5" thickBot="1" x14ac:dyDescent="0.45">
      <c r="A6" s="24" t="s">
        <v>210</v>
      </c>
      <c r="B6" s="40">
        <v>30000</v>
      </c>
      <c r="C6" s="26">
        <f>B5-B6</f>
        <v>645000</v>
      </c>
      <c r="D6" s="25" t="s">
        <v>216</v>
      </c>
      <c r="E6" s="66"/>
      <c r="F6" s="28">
        <v>245000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ht="18" x14ac:dyDescent="0.4">
      <c r="A7" s="65" t="s">
        <v>211</v>
      </c>
      <c r="B7" s="66"/>
      <c r="C7" s="25"/>
      <c r="D7" s="25"/>
      <c r="E7" s="25"/>
      <c r="F7" s="27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30" ht="18" x14ac:dyDescent="0.4">
      <c r="A8" s="24" t="s">
        <v>219</v>
      </c>
      <c r="B8" s="25"/>
      <c r="C8" s="26">
        <v>20000</v>
      </c>
      <c r="D8" s="25"/>
      <c r="E8" s="25"/>
      <c r="F8" s="27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0" ht="18" x14ac:dyDescent="0.4">
      <c r="A9" s="24" t="s">
        <v>220</v>
      </c>
      <c r="B9" s="25"/>
      <c r="C9" s="26">
        <v>10000</v>
      </c>
      <c r="D9" s="25"/>
      <c r="E9" s="25"/>
      <c r="F9" s="27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0" ht="18" x14ac:dyDescent="0.4">
      <c r="A10" s="24" t="s">
        <v>221</v>
      </c>
      <c r="B10" s="25"/>
      <c r="C10" s="26">
        <f>SUM(F11)-SUM(C6:C9)</f>
        <v>180000</v>
      </c>
      <c r="D10" s="25"/>
      <c r="E10" s="25"/>
      <c r="F10" s="27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0" ht="18.5" thickBot="1" x14ac:dyDescent="0.45">
      <c r="A11" s="29"/>
      <c r="B11" s="30"/>
      <c r="C11" s="37">
        <f>F11</f>
        <v>855000</v>
      </c>
      <c r="D11" s="30"/>
      <c r="E11" s="30"/>
      <c r="F11" s="38">
        <f>SUM(F5:F6)</f>
        <v>855000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0" ht="18" x14ac:dyDescent="0.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0" ht="18" x14ac:dyDescent="0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0" ht="18" x14ac:dyDescent="0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0" ht="18" x14ac:dyDescent="0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0" ht="18" x14ac:dyDescent="0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ht="18" x14ac:dyDescent="0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ht="18" x14ac:dyDescent="0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ht="18" x14ac:dyDescent="0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ht="18" x14ac:dyDescent="0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ht="18" x14ac:dyDescent="0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ht="18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ht="18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ht="18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ht="18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ht="18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ht="18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ht="18" x14ac:dyDescent="0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ht="18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ht="18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ht="18" x14ac:dyDescent="0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ht="18" x14ac:dyDescent="0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ht="18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ht="18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ht="18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ht="18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ht="18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ht="18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ht="18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ht="18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ht="18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ht="18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ht="18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ht="18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spans="1:30" ht="18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spans="1:30" ht="18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spans="1:30" ht="18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spans="1:30" ht="18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spans="1:30" ht="18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spans="1:30" ht="18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spans="1:30" ht="18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spans="1:30" ht="18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spans="1:30" ht="18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spans="1:30" ht="18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spans="1:30" ht="18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spans="1:30" ht="18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spans="1:30" ht="18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spans="1:30" ht="18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spans="1:30" ht="18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spans="1:30" ht="18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spans="1:30" ht="18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spans="1:30" ht="18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spans="1:30" ht="18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spans="1:30" ht="18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spans="1:30" ht="18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spans="1:30" ht="18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spans="1:30" ht="18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spans="1:30" ht="18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spans="1:30" ht="18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spans="1:30" ht="18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spans="1:30" ht="18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spans="1:30" ht="18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spans="1:30" ht="18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spans="1:30" ht="18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spans="1:30" ht="18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spans="1:30" ht="18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spans="1:30" ht="18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spans="1:30" ht="18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spans="1:30" ht="18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spans="1:30" ht="18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spans="1:30" ht="18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spans="1:30" ht="18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spans="1:30" ht="18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spans="1:30" ht="18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spans="1:30" ht="18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spans="1:30" ht="18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spans="1:30" ht="18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spans="1:30" ht="18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spans="1:30" ht="18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spans="1:30" ht="18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spans="1:30" ht="18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spans="1:30" ht="18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spans="1:30" ht="18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spans="1:30" ht="18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spans="1:30" ht="18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spans="1:30" ht="18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spans="1:30" ht="18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spans="1:30" ht="18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spans="1:30" ht="18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spans="1:30" ht="18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spans="1:30" ht="18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spans="1:30" ht="18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spans="1:30" ht="18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spans="1:30" ht="18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spans="1:30" ht="18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spans="1:30" ht="18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spans="1:30" ht="18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spans="1:30" ht="18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spans="1:30" ht="18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spans="1:30" ht="18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spans="1:30" ht="18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spans="1:30" ht="18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spans="1:30" ht="18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spans="1:30" ht="18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spans="1:30" ht="18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spans="1:30" ht="18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spans="1:30" ht="18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spans="1:30" ht="18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spans="1:30" ht="18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spans="1:30" ht="18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spans="1:30" ht="18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spans="1:30" ht="18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spans="1:30" ht="18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spans="1:30" ht="18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spans="1:30" ht="18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spans="1:30" ht="18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spans="1:30" ht="18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spans="1:30" ht="18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spans="1:30" ht="18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spans="1:30" ht="18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spans="1:30" ht="18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spans="1:30" ht="18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spans="1:30" ht="18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spans="1:30" ht="18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spans="1:30" ht="18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spans="1:30" ht="18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spans="1:30" ht="18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spans="1:30" ht="18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spans="1:30" ht="18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spans="1:30" ht="18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spans="1:30" ht="18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spans="1:30" ht="18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spans="1:30" ht="18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spans="1:30" ht="18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spans="1:30" ht="18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spans="1:30" ht="18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spans="1:30" ht="18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spans="1:30" ht="18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 spans="1:30" ht="18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 spans="1:30" ht="18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 spans="1:30" ht="18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 spans="1:30" ht="18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spans="1:30" ht="18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 spans="1:30" ht="18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spans="1:30" ht="18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spans="1:30" ht="18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 spans="1:30" ht="18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spans="1:30" ht="18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spans="1:30" ht="18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spans="1:30" ht="18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spans="1:30" ht="18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 spans="1:30" ht="18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 spans="1:30" ht="18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spans="1:30" ht="18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 spans="1:30" ht="18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 spans="1:30" ht="18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spans="1:30" ht="18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spans="1:30" ht="18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spans="1:30" ht="18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spans="1:30" ht="18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 spans="1:30" ht="18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 spans="1:30" ht="18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 spans="1:30" ht="18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spans="1:30" ht="18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 spans="1:30" ht="18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spans="1:30" ht="18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spans="1:30" ht="18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spans="1:30" ht="18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 spans="1:30" ht="18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 spans="1:30" ht="18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 spans="1:30" ht="18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 spans="1:30" ht="18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 spans="1:30" ht="18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spans="1:30" ht="18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spans="1:30" ht="18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spans="1:30" ht="18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spans="1:30" ht="18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spans="1:30" ht="18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spans="1:30" ht="18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spans="1:30" ht="18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spans="1:30" ht="18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spans="1:30" ht="18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spans="1:30" ht="18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spans="1:30" ht="18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spans="1:30" ht="18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spans="1:30" ht="18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spans="1:30" ht="18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spans="1:30" ht="18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spans="1:30" ht="18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spans="1:30" ht="18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spans="1:30" ht="18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spans="1:30" ht="18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spans="1:30" ht="18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spans="1:30" ht="18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spans="1:30" ht="18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spans="1:30" ht="18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spans="1:30" ht="18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spans="1:30" ht="18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spans="1:30" ht="18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spans="1:30" ht="18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spans="1:30" ht="18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 spans="1:30" ht="18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 spans="1:30" ht="18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 spans="1:30" ht="18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 spans="1:30" ht="18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spans="1:30" ht="18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 spans="1:30" ht="18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 spans="1:30" ht="18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spans="1:30" ht="18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 spans="1:30" ht="18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 spans="1:30" ht="18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spans="1:30" ht="18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 spans="1:30" ht="18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 spans="1:30" ht="18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 spans="1:30" ht="18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 spans="1:30" ht="18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 spans="1:30" ht="18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 spans="1:30" ht="18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 spans="1:30" ht="18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 spans="1:30" ht="18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 spans="1:30" ht="18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 spans="1:30" ht="18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 spans="1:30" ht="18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 spans="1:30" ht="18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 spans="1:30" ht="18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 spans="1:30" ht="18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 spans="1:30" ht="18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 spans="1:30" ht="18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 spans="1:30" ht="18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 spans="1:30" ht="18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 spans="1:30" ht="18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 spans="1:30" ht="18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 spans="1:30" ht="18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</sheetData>
  <mergeCells count="2">
    <mergeCell ref="A1:F1"/>
    <mergeCell ref="A2:F2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BBE1D-8A84-400D-B620-6E16064710EB}">
  <dimension ref="A1:CU405"/>
  <sheetViews>
    <sheetView workbookViewId="0">
      <selection activeCell="C10" sqref="C10"/>
    </sheetView>
  </sheetViews>
  <sheetFormatPr defaultRowHeight="14.5" x14ac:dyDescent="0.35"/>
  <cols>
    <col min="1" max="1" width="45.1796875" customWidth="1"/>
    <col min="2" max="3" width="17.36328125" customWidth="1"/>
    <col min="4" max="4" width="34.26953125" customWidth="1"/>
    <col min="5" max="5" width="14.453125" customWidth="1"/>
    <col min="6" max="6" width="14" customWidth="1"/>
  </cols>
  <sheetData>
    <row r="1" spans="1:99" ht="18" x14ac:dyDescent="0.4">
      <c r="A1" s="148" t="s">
        <v>340</v>
      </c>
      <c r="B1" s="148"/>
      <c r="C1" s="148"/>
      <c r="D1" s="148"/>
      <c r="E1" s="148"/>
      <c r="F1" s="148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</row>
    <row r="2" spans="1:99" ht="18.5" thickBot="1" x14ac:dyDescent="0.45">
      <c r="A2" s="149" t="s">
        <v>344</v>
      </c>
      <c r="B2" s="149"/>
      <c r="C2" s="149"/>
      <c r="D2" s="149"/>
      <c r="E2" s="149"/>
      <c r="F2" s="149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</row>
    <row r="3" spans="1:99" ht="18.5" thickBot="1" x14ac:dyDescent="0.45">
      <c r="A3" s="17" t="s">
        <v>3</v>
      </c>
      <c r="B3" s="18" t="s">
        <v>134</v>
      </c>
      <c r="C3" s="18" t="s">
        <v>134</v>
      </c>
      <c r="D3" s="18" t="s">
        <v>3</v>
      </c>
      <c r="E3" s="18" t="s">
        <v>134</v>
      </c>
      <c r="F3" s="19" t="s">
        <v>134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</row>
    <row r="4" spans="1:99" ht="18" x14ac:dyDescent="0.4">
      <c r="A4" s="20" t="s">
        <v>222</v>
      </c>
      <c r="B4" s="21"/>
      <c r="C4" s="22">
        <v>15000</v>
      </c>
      <c r="D4" s="21" t="s">
        <v>230</v>
      </c>
      <c r="E4" s="21"/>
      <c r="F4" s="32">
        <v>180000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</row>
    <row r="5" spans="1:99" ht="18" x14ac:dyDescent="0.4">
      <c r="A5" s="24" t="s">
        <v>224</v>
      </c>
      <c r="B5" s="26">
        <v>25000</v>
      </c>
      <c r="C5" s="41"/>
      <c r="D5" s="25" t="s">
        <v>342</v>
      </c>
      <c r="E5" s="26">
        <v>20000</v>
      </c>
      <c r="F5" s="27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</row>
    <row r="6" spans="1:99" ht="18.5" thickBot="1" x14ac:dyDescent="0.45">
      <c r="A6" s="24" t="s">
        <v>225</v>
      </c>
      <c r="B6" s="40">
        <v>10000</v>
      </c>
      <c r="C6" s="26">
        <f>SUM(B5:B6)</f>
        <v>35000</v>
      </c>
      <c r="D6" s="25" t="s">
        <v>343</v>
      </c>
      <c r="E6" s="40">
        <v>5000</v>
      </c>
      <c r="F6" s="28">
        <f>SUM(E5:E6)</f>
        <v>25000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</row>
    <row r="7" spans="1:99" ht="18" x14ac:dyDescent="0.4">
      <c r="A7" s="24" t="s">
        <v>223</v>
      </c>
      <c r="B7" s="66"/>
      <c r="C7" s="26">
        <v>5000</v>
      </c>
      <c r="D7" s="25"/>
      <c r="E7" s="66"/>
      <c r="F7" s="27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</row>
    <row r="8" spans="1:99" ht="18" x14ac:dyDescent="0.4">
      <c r="A8" s="24" t="s">
        <v>226</v>
      </c>
      <c r="B8" s="25"/>
      <c r="C8" s="26">
        <v>30000</v>
      </c>
      <c r="D8" s="25"/>
      <c r="E8" s="25"/>
      <c r="F8" s="27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</row>
    <row r="9" spans="1:99" ht="18" x14ac:dyDescent="0.4">
      <c r="A9" s="24" t="s">
        <v>227</v>
      </c>
      <c r="B9" s="25"/>
      <c r="C9" s="26">
        <v>8000</v>
      </c>
      <c r="D9" s="25"/>
      <c r="E9" s="25"/>
      <c r="F9" s="27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</row>
    <row r="10" spans="1:99" ht="18" x14ac:dyDescent="0.4">
      <c r="A10" s="24" t="s">
        <v>228</v>
      </c>
      <c r="B10" s="26">
        <v>8000</v>
      </c>
      <c r="C10" s="25"/>
      <c r="D10" s="25"/>
      <c r="E10" s="25"/>
      <c r="F10" s="27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</row>
    <row r="11" spans="1:99" ht="18.5" thickBot="1" x14ac:dyDescent="0.45">
      <c r="A11" s="24" t="s">
        <v>229</v>
      </c>
      <c r="B11" s="40">
        <v>2000</v>
      </c>
      <c r="C11" s="26">
        <f>SUM(B10:B11)</f>
        <v>10000</v>
      </c>
      <c r="D11" s="25"/>
      <c r="E11" s="25"/>
      <c r="F11" s="27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</row>
    <row r="12" spans="1:99" ht="18" x14ac:dyDescent="0.4">
      <c r="A12" s="24" t="s">
        <v>341</v>
      </c>
      <c r="B12" s="67">
        <v>12000</v>
      </c>
      <c r="C12" s="25"/>
      <c r="D12" s="25"/>
      <c r="E12" s="25"/>
      <c r="F12" s="27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</row>
    <row r="13" spans="1:99" ht="18.5" thickBot="1" x14ac:dyDescent="0.45">
      <c r="A13" s="24" t="s">
        <v>231</v>
      </c>
      <c r="B13" s="40">
        <v>3000</v>
      </c>
      <c r="C13" s="26">
        <f>B12-B13</f>
        <v>9000</v>
      </c>
      <c r="D13" s="25"/>
      <c r="E13" s="25"/>
      <c r="F13" s="27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</row>
    <row r="14" spans="1:99" ht="18" x14ac:dyDescent="0.4">
      <c r="A14" s="24" t="s">
        <v>242</v>
      </c>
      <c r="B14" s="66"/>
      <c r="C14" s="26">
        <v>4200</v>
      </c>
      <c r="D14" s="25"/>
      <c r="E14" s="25"/>
      <c r="F14" s="27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</row>
    <row r="15" spans="1:99" ht="18" x14ac:dyDescent="0.4">
      <c r="A15" s="24" t="s">
        <v>243</v>
      </c>
      <c r="B15" s="25"/>
      <c r="C15" s="26">
        <v>6000</v>
      </c>
      <c r="D15" s="25"/>
      <c r="E15" s="25"/>
      <c r="F15" s="27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</row>
    <row r="16" spans="1:99" ht="18" x14ac:dyDescent="0.4">
      <c r="A16" s="24" t="s">
        <v>244</v>
      </c>
      <c r="B16" s="25"/>
      <c r="C16" s="26">
        <v>21300</v>
      </c>
      <c r="D16" s="25"/>
      <c r="E16" s="25"/>
      <c r="F16" s="27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</row>
    <row r="17" spans="1:99" ht="18" x14ac:dyDescent="0.4">
      <c r="A17" s="24" t="s">
        <v>245</v>
      </c>
      <c r="B17" s="25"/>
      <c r="C17" s="26">
        <f>SUM(F18)-SUM(C4:C16)</f>
        <v>61500</v>
      </c>
      <c r="D17" s="25"/>
      <c r="E17" s="25"/>
      <c r="F17" s="27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</row>
    <row r="18" spans="1:99" ht="18.5" thickBot="1" x14ac:dyDescent="0.45">
      <c r="A18" s="29"/>
      <c r="B18" s="30"/>
      <c r="C18" s="37">
        <f>F18</f>
        <v>205000</v>
      </c>
      <c r="D18" s="30"/>
      <c r="E18" s="30"/>
      <c r="F18" s="38">
        <f>SUM(F4:F6)</f>
        <v>205000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</row>
    <row r="19" spans="1:99" ht="18" x14ac:dyDescent="0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</row>
    <row r="20" spans="1:99" ht="18" x14ac:dyDescent="0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</row>
    <row r="21" spans="1:99" ht="18" x14ac:dyDescent="0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</row>
    <row r="22" spans="1:99" ht="18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</row>
    <row r="23" spans="1:99" ht="18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</row>
    <row r="24" spans="1:99" ht="18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</row>
    <row r="25" spans="1:99" ht="18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</row>
    <row r="26" spans="1:99" ht="18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</row>
    <row r="27" spans="1:99" ht="18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</row>
    <row r="28" spans="1:99" ht="18" x14ac:dyDescent="0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</row>
    <row r="29" spans="1:99" ht="18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</row>
    <row r="30" spans="1:99" ht="18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</row>
    <row r="31" spans="1:99" ht="18" x14ac:dyDescent="0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</row>
    <row r="32" spans="1:99" ht="18" x14ac:dyDescent="0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</row>
    <row r="33" spans="1:99" ht="18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</row>
    <row r="34" spans="1:99" ht="18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</row>
    <row r="35" spans="1:99" ht="18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</row>
    <row r="36" spans="1:99" ht="18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</row>
    <row r="37" spans="1:99" ht="18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</row>
    <row r="38" spans="1:99" ht="18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</row>
    <row r="39" spans="1:99" ht="18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 spans="1:99" ht="18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</row>
    <row r="41" spans="1:99" ht="18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</row>
    <row r="42" spans="1:99" ht="18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</row>
    <row r="43" spans="1:99" ht="18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</row>
    <row r="44" spans="1:99" ht="18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</row>
    <row r="45" spans="1:99" ht="18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</row>
    <row r="46" spans="1:99" ht="18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</row>
    <row r="47" spans="1:99" ht="18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</row>
    <row r="48" spans="1:99" ht="18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</row>
    <row r="49" spans="1:99" ht="18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</row>
    <row r="50" spans="1:99" ht="18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</row>
    <row r="51" spans="1:99" ht="18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</row>
    <row r="52" spans="1:99" ht="18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</row>
    <row r="53" spans="1:99" ht="18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</row>
    <row r="54" spans="1:99" ht="18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</row>
    <row r="55" spans="1:99" ht="18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</row>
    <row r="56" spans="1:99" ht="18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</row>
    <row r="57" spans="1:99" ht="18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</row>
    <row r="58" spans="1:99" ht="18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</row>
    <row r="59" spans="1:99" ht="18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</row>
    <row r="60" spans="1:99" ht="18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</row>
    <row r="61" spans="1:99" ht="18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</row>
    <row r="62" spans="1:99" ht="18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</row>
    <row r="63" spans="1:99" ht="18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</row>
    <row r="64" spans="1:99" ht="18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</row>
    <row r="65" spans="1:99" ht="18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</row>
    <row r="66" spans="1:99" ht="18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</row>
    <row r="67" spans="1:99" ht="18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</row>
    <row r="68" spans="1:99" ht="18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</row>
    <row r="69" spans="1:99" ht="18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</row>
    <row r="70" spans="1:99" ht="18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</row>
    <row r="71" spans="1:99" ht="18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</row>
    <row r="72" spans="1:99" ht="18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</row>
    <row r="73" spans="1:99" ht="18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</row>
    <row r="74" spans="1:99" ht="18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</row>
    <row r="75" spans="1:99" ht="18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</row>
    <row r="76" spans="1:99" ht="18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</row>
    <row r="77" spans="1:99" ht="18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</row>
    <row r="78" spans="1:99" ht="18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</row>
    <row r="79" spans="1:99" ht="18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</row>
    <row r="80" spans="1:99" ht="18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</row>
    <row r="81" spans="1:99" ht="18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</row>
    <row r="82" spans="1:99" ht="18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</row>
    <row r="83" spans="1:99" ht="18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</row>
    <row r="84" spans="1:99" ht="18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</row>
    <row r="85" spans="1:99" ht="18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</row>
    <row r="86" spans="1:99" ht="18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</row>
    <row r="87" spans="1:99" ht="18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</row>
    <row r="88" spans="1:99" ht="18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</row>
    <row r="89" spans="1:99" ht="18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</row>
    <row r="90" spans="1:99" ht="18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</row>
    <row r="91" spans="1:99" ht="18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</row>
    <row r="92" spans="1:99" ht="18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</row>
    <row r="93" spans="1:99" ht="18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</row>
    <row r="94" spans="1:99" ht="18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</row>
    <row r="95" spans="1:99" ht="18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</row>
    <row r="96" spans="1:99" ht="18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</row>
    <row r="97" spans="1:99" ht="18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</row>
    <row r="98" spans="1:99" ht="18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</row>
    <row r="99" spans="1:99" ht="18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</row>
    <row r="100" spans="1:99" ht="18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</row>
    <row r="101" spans="1:99" ht="18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</row>
    <row r="102" spans="1:99" ht="18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</row>
    <row r="103" spans="1:99" ht="18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</row>
    <row r="104" spans="1:99" ht="18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</row>
    <row r="105" spans="1:99" ht="18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</row>
    <row r="106" spans="1:99" ht="18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</row>
    <row r="107" spans="1:99" ht="18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</row>
    <row r="108" spans="1:99" ht="18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</row>
    <row r="109" spans="1:99" ht="18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</row>
    <row r="110" spans="1:99" ht="18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</row>
    <row r="111" spans="1:99" ht="18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</row>
    <row r="112" spans="1:99" ht="18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</row>
    <row r="113" spans="1:99" ht="18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</row>
    <row r="114" spans="1:99" ht="18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</row>
    <row r="115" spans="1:99" ht="18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</row>
    <row r="116" spans="1:99" ht="18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</row>
    <row r="117" spans="1:99" ht="18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</row>
    <row r="118" spans="1:99" ht="18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</row>
    <row r="119" spans="1:99" ht="18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</row>
    <row r="120" spans="1:99" ht="18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</row>
    <row r="121" spans="1:99" ht="18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</row>
    <row r="122" spans="1:99" ht="18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</row>
    <row r="123" spans="1:99" ht="18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</row>
    <row r="124" spans="1:99" ht="18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</row>
    <row r="125" spans="1:99" ht="18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</row>
    <row r="126" spans="1:99" ht="18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</row>
    <row r="127" spans="1:99" ht="18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</row>
    <row r="128" spans="1:99" ht="18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</row>
    <row r="129" spans="1:99" ht="18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</row>
    <row r="130" spans="1:99" ht="18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</row>
    <row r="131" spans="1:99" ht="18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</row>
    <row r="132" spans="1:99" ht="18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</row>
    <row r="133" spans="1:99" ht="18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</row>
    <row r="134" spans="1:99" ht="18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</row>
    <row r="135" spans="1:99" ht="18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</row>
    <row r="136" spans="1:99" ht="18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</row>
    <row r="137" spans="1:99" ht="18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</row>
    <row r="138" spans="1:99" ht="18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</row>
    <row r="139" spans="1:99" ht="18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</row>
    <row r="140" spans="1:99" ht="18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</row>
    <row r="141" spans="1:99" ht="18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</row>
    <row r="142" spans="1:99" ht="18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</row>
    <row r="143" spans="1:99" ht="18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</row>
    <row r="144" spans="1:99" ht="18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</row>
    <row r="145" spans="1:99" ht="18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</row>
    <row r="146" spans="1:99" ht="18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</row>
    <row r="147" spans="1:99" ht="18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</row>
    <row r="148" spans="1:99" ht="18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</row>
    <row r="149" spans="1:99" ht="18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</row>
    <row r="150" spans="1:99" ht="18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</row>
    <row r="151" spans="1:99" ht="18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</row>
    <row r="152" spans="1:99" ht="18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</row>
    <row r="153" spans="1:99" ht="18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</row>
    <row r="154" spans="1:99" ht="18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</row>
    <row r="155" spans="1:99" ht="18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</row>
    <row r="156" spans="1:99" ht="18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</row>
    <row r="157" spans="1:99" ht="18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</row>
    <row r="158" spans="1:99" ht="18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</row>
    <row r="159" spans="1:99" ht="18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</row>
    <row r="160" spans="1:99" ht="18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</row>
    <row r="161" spans="1:99" ht="18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</row>
    <row r="162" spans="1:99" ht="18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</row>
    <row r="163" spans="1:99" ht="18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</row>
    <row r="164" spans="1:99" ht="18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</row>
    <row r="165" spans="1:99" ht="18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</row>
    <row r="166" spans="1:99" ht="18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</row>
    <row r="167" spans="1:99" ht="18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</row>
    <row r="168" spans="1:99" ht="18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</row>
    <row r="169" spans="1:99" ht="18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</row>
    <row r="170" spans="1:99" ht="18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</row>
    <row r="171" spans="1:99" ht="18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</row>
    <row r="172" spans="1:99" ht="18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</row>
    <row r="173" spans="1:99" ht="18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</row>
    <row r="174" spans="1:99" ht="18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</row>
    <row r="175" spans="1:99" ht="18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</row>
    <row r="176" spans="1:99" ht="18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</row>
    <row r="177" spans="1:99" ht="18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</row>
    <row r="178" spans="1:99" ht="18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</row>
    <row r="179" spans="1:99" ht="18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</row>
    <row r="180" spans="1:99" ht="18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</row>
    <row r="181" spans="1:99" ht="18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</row>
    <row r="182" spans="1:99" ht="18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</row>
    <row r="183" spans="1:99" ht="18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</row>
    <row r="184" spans="1:99" ht="18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</row>
    <row r="185" spans="1:99" ht="18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</row>
    <row r="186" spans="1:99" ht="18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</row>
    <row r="187" spans="1:99" ht="18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</row>
    <row r="188" spans="1:99" ht="18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</row>
    <row r="189" spans="1:99" ht="18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</row>
    <row r="190" spans="1:99" ht="18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</row>
    <row r="191" spans="1:99" ht="18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</row>
    <row r="192" spans="1:99" ht="18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</row>
    <row r="193" spans="1:99" ht="18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</row>
    <row r="194" spans="1:99" ht="18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</row>
    <row r="195" spans="1:99" ht="18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</row>
    <row r="196" spans="1:99" ht="18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</row>
    <row r="197" spans="1:99" ht="18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</row>
    <row r="198" spans="1:99" ht="18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</row>
    <row r="199" spans="1:99" ht="18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</row>
    <row r="200" spans="1:99" ht="18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</row>
    <row r="201" spans="1:99" ht="18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</row>
    <row r="202" spans="1:99" ht="18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</row>
    <row r="203" spans="1:99" ht="18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</row>
    <row r="204" spans="1:99" ht="18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</row>
    <row r="205" spans="1:99" ht="18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</row>
    <row r="206" spans="1:99" ht="18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</row>
    <row r="207" spans="1:99" ht="18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</row>
    <row r="208" spans="1:99" ht="18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</row>
    <row r="209" spans="1:99" ht="18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</row>
    <row r="210" spans="1:99" ht="18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</row>
    <row r="211" spans="1:99" ht="18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</row>
    <row r="212" spans="1:99" ht="18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</row>
    <row r="213" spans="1:99" ht="18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</row>
    <row r="214" spans="1:99" ht="18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</row>
    <row r="215" spans="1:99" ht="18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</row>
    <row r="216" spans="1:99" ht="18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</row>
    <row r="217" spans="1:99" ht="18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</row>
    <row r="218" spans="1:99" ht="18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</row>
    <row r="219" spans="1:99" ht="18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</row>
    <row r="220" spans="1:99" ht="18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</row>
    <row r="221" spans="1:99" ht="18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</row>
    <row r="222" spans="1:99" ht="18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</row>
    <row r="223" spans="1:99" ht="18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</row>
    <row r="224" spans="1:99" ht="18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</row>
    <row r="225" spans="1:99" ht="18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</row>
    <row r="226" spans="1:99" ht="18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</row>
    <row r="227" spans="1:99" ht="18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</row>
    <row r="228" spans="1:99" ht="18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</row>
    <row r="229" spans="1:99" ht="18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</row>
    <row r="230" spans="1:99" ht="18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</row>
    <row r="231" spans="1:99" ht="18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</row>
    <row r="232" spans="1:99" ht="18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</row>
    <row r="233" spans="1:99" ht="18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</row>
    <row r="234" spans="1:99" ht="18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</row>
    <row r="235" spans="1:99" ht="18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</row>
    <row r="236" spans="1:99" ht="18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</row>
    <row r="237" spans="1:99" ht="18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</row>
    <row r="238" spans="1:99" ht="18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</row>
    <row r="239" spans="1:99" ht="18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</row>
    <row r="240" spans="1:99" ht="18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</row>
    <row r="241" spans="1:99" ht="18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</row>
    <row r="242" spans="1:99" ht="18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</row>
    <row r="243" spans="1:99" ht="18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</row>
    <row r="244" spans="1:99" ht="18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</row>
    <row r="245" spans="1:99" ht="18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</row>
    <row r="246" spans="1:99" ht="18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</row>
    <row r="247" spans="1:99" ht="18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</row>
    <row r="248" spans="1:99" ht="18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</row>
    <row r="249" spans="1:99" ht="18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</row>
    <row r="250" spans="1:99" ht="18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</row>
    <row r="251" spans="1:99" ht="18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</row>
    <row r="252" spans="1:99" ht="18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</row>
    <row r="253" spans="1:99" ht="18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</row>
    <row r="254" spans="1:99" ht="18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</row>
    <row r="255" spans="1:99" ht="18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</row>
    <row r="256" spans="1:99" ht="18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</row>
    <row r="257" spans="1:99" ht="18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</row>
    <row r="258" spans="1:99" ht="18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</row>
    <row r="259" spans="1:99" ht="18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</row>
    <row r="260" spans="1:99" ht="18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</row>
    <row r="261" spans="1:99" ht="18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</row>
    <row r="262" spans="1:99" ht="18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</row>
    <row r="263" spans="1:99" ht="18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</row>
    <row r="264" spans="1:99" ht="18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</row>
    <row r="265" spans="1:99" ht="18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</row>
    <row r="266" spans="1:99" ht="18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</row>
    <row r="267" spans="1:99" ht="18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</row>
    <row r="268" spans="1:99" ht="18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</row>
    <row r="269" spans="1:99" ht="18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</row>
    <row r="270" spans="1:99" ht="18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</row>
    <row r="271" spans="1:99" ht="18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</row>
    <row r="272" spans="1:99" ht="18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</row>
    <row r="273" spans="1:99" ht="18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</row>
    <row r="274" spans="1:99" ht="18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</row>
    <row r="275" spans="1:99" ht="18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</row>
    <row r="276" spans="1:99" ht="18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</row>
    <row r="277" spans="1:99" ht="18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</row>
    <row r="278" spans="1:99" ht="18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</row>
    <row r="279" spans="1:99" ht="18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</row>
    <row r="280" spans="1:99" ht="18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</row>
    <row r="281" spans="1:99" ht="18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</row>
    <row r="282" spans="1:99" ht="18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</row>
    <row r="283" spans="1:99" ht="18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</row>
    <row r="284" spans="1:99" ht="18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</row>
    <row r="285" spans="1:99" ht="18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</row>
    <row r="286" spans="1:99" ht="18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</row>
    <row r="287" spans="1:99" ht="18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</row>
    <row r="288" spans="1:99" ht="18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</row>
    <row r="289" spans="1:99" ht="18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</row>
    <row r="290" spans="1:99" ht="18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</row>
    <row r="291" spans="1:99" ht="18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</row>
    <row r="292" spans="1:99" ht="18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</row>
    <row r="293" spans="1:99" ht="18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</row>
    <row r="294" spans="1:99" ht="18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</row>
    <row r="295" spans="1:99" ht="18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</row>
    <row r="296" spans="1:99" ht="18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</row>
    <row r="297" spans="1:99" ht="18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</row>
    <row r="298" spans="1:99" ht="18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</row>
    <row r="299" spans="1:99" ht="18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</row>
    <row r="300" spans="1:99" ht="18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</row>
    <row r="301" spans="1:99" ht="18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</row>
    <row r="302" spans="1:99" ht="18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</row>
    <row r="303" spans="1:99" ht="18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</row>
    <row r="304" spans="1:99" ht="18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</row>
    <row r="305" spans="1:99" ht="18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</row>
    <row r="306" spans="1:99" ht="18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</row>
    <row r="307" spans="1:99" ht="18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</row>
    <row r="308" spans="1:99" ht="18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</row>
    <row r="309" spans="1:99" ht="18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</row>
    <row r="310" spans="1:99" ht="18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</row>
    <row r="311" spans="1:99" ht="18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</row>
    <row r="312" spans="1:99" ht="18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</row>
    <row r="313" spans="1:99" ht="18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</row>
    <row r="314" spans="1:99" ht="18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</row>
    <row r="315" spans="1:99" ht="18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</row>
    <row r="316" spans="1:99" ht="18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</row>
    <row r="317" spans="1:99" ht="18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</row>
    <row r="318" spans="1:99" ht="18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</row>
    <row r="319" spans="1:99" ht="18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</row>
    <row r="320" spans="1:99" ht="18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</row>
    <row r="321" spans="1:99" ht="18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</row>
    <row r="322" spans="1:99" ht="18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</row>
    <row r="323" spans="1:99" ht="18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</row>
    <row r="324" spans="1:99" ht="18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</row>
    <row r="325" spans="1:99" ht="18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</row>
    <row r="326" spans="1:99" ht="18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</row>
    <row r="327" spans="1:99" ht="18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</row>
    <row r="328" spans="1:99" ht="18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</row>
    <row r="329" spans="1:99" ht="18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</row>
    <row r="330" spans="1:99" ht="18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</row>
    <row r="331" spans="1:99" ht="18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</row>
    <row r="332" spans="1:99" ht="18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</row>
    <row r="333" spans="1:99" ht="18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</row>
    <row r="334" spans="1:99" ht="18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</row>
    <row r="335" spans="1:99" ht="18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</row>
    <row r="336" spans="1:99" ht="18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</row>
    <row r="337" spans="1:99" ht="18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</row>
    <row r="338" spans="1:99" ht="18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</row>
    <row r="339" spans="1:99" ht="18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</row>
    <row r="340" spans="1:99" ht="18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</row>
    <row r="341" spans="1:99" ht="18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</row>
    <row r="342" spans="1:99" ht="18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</row>
    <row r="343" spans="1:99" ht="18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</row>
    <row r="344" spans="1:99" ht="18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</row>
    <row r="345" spans="1:99" ht="18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</row>
    <row r="346" spans="1:99" ht="18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</row>
    <row r="347" spans="1:99" ht="18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</row>
    <row r="348" spans="1:99" ht="18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</row>
    <row r="349" spans="1:99" ht="18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</row>
    <row r="350" spans="1:99" ht="18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</row>
    <row r="351" spans="1:99" ht="18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</row>
    <row r="352" spans="1:99" ht="18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</row>
    <row r="353" spans="1:99" ht="18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</row>
    <row r="354" spans="1:99" ht="18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</row>
    <row r="355" spans="1:99" ht="18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</row>
    <row r="356" spans="1:99" ht="18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</row>
    <row r="357" spans="1:99" ht="18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</row>
    <row r="358" spans="1:99" ht="18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</row>
    <row r="359" spans="1:99" ht="18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</row>
    <row r="360" spans="1:99" ht="18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</row>
    <row r="361" spans="1:99" ht="18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</row>
    <row r="362" spans="1:99" ht="18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</row>
    <row r="363" spans="1:99" ht="18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</row>
    <row r="364" spans="1:99" ht="18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</row>
    <row r="365" spans="1:99" ht="18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</row>
    <row r="366" spans="1:99" ht="18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</row>
    <row r="367" spans="1:99" ht="18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</row>
    <row r="368" spans="1:99" ht="18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</row>
    <row r="369" spans="1:99" ht="18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</row>
    <row r="370" spans="1:99" ht="18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</row>
    <row r="371" spans="1:99" ht="18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</row>
    <row r="372" spans="1:99" ht="18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</row>
    <row r="373" spans="1:99" ht="18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</row>
    <row r="374" spans="1:99" ht="18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</row>
    <row r="375" spans="1:99" ht="18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</row>
    <row r="376" spans="1:99" ht="18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</row>
    <row r="377" spans="1:99" ht="18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</row>
    <row r="378" spans="1:99" ht="18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</row>
    <row r="379" spans="1:99" ht="18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</row>
    <row r="380" spans="1:99" ht="18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</row>
    <row r="381" spans="1:99" ht="18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</row>
    <row r="382" spans="1:99" ht="18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</row>
    <row r="383" spans="1:99" ht="18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</row>
    <row r="384" spans="1:99" ht="18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</row>
    <row r="385" spans="1:99" ht="18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</row>
    <row r="386" spans="1:99" ht="18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</row>
    <row r="387" spans="1:99" ht="18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</row>
    <row r="388" spans="1:99" ht="18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</row>
    <row r="389" spans="1:99" ht="18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</row>
    <row r="390" spans="1:99" ht="18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</row>
    <row r="391" spans="1:99" ht="18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</row>
    <row r="392" spans="1:99" ht="18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</row>
    <row r="393" spans="1:99" ht="18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</row>
    <row r="394" spans="1:99" ht="18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</row>
    <row r="395" spans="1:99" ht="18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</row>
    <row r="396" spans="1:99" ht="18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</row>
    <row r="397" spans="1:99" ht="18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</row>
    <row r="398" spans="1:99" ht="18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</row>
    <row r="399" spans="1:99" ht="18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</row>
    <row r="400" spans="1:99" ht="18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</row>
    <row r="401" spans="1:99" ht="18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</row>
    <row r="402" spans="1:99" ht="18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</row>
    <row r="403" spans="1:99" ht="18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</row>
    <row r="404" spans="1:99" ht="18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</row>
    <row r="405" spans="1:99" ht="18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</row>
  </sheetData>
  <mergeCells count="2">
    <mergeCell ref="A1:F1"/>
    <mergeCell ref="A2:F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34A83-5C43-4BF6-981E-C782E2F54E40}">
  <dimension ref="A1:S286"/>
  <sheetViews>
    <sheetView topLeftCell="D3" workbookViewId="0">
      <selection activeCell="G6" sqref="G6"/>
    </sheetView>
  </sheetViews>
  <sheetFormatPr defaultRowHeight="14.5" x14ac:dyDescent="0.35"/>
  <cols>
    <col min="1" max="1" width="34.26953125" customWidth="1"/>
    <col min="2" max="2" width="17.54296875" customWidth="1"/>
    <col min="3" max="3" width="20.08984375" customWidth="1"/>
    <col min="4" max="4" width="25.81640625" customWidth="1"/>
    <col min="5" max="5" width="18" customWidth="1"/>
    <col min="6" max="6" width="17.54296875" customWidth="1"/>
    <col min="7" max="7" width="11.1796875" bestFit="1" customWidth="1"/>
  </cols>
  <sheetData>
    <row r="1" spans="1:19" ht="18" x14ac:dyDescent="0.4">
      <c r="A1" s="148" t="s">
        <v>346</v>
      </c>
      <c r="B1" s="148"/>
      <c r="C1" s="148"/>
      <c r="D1" s="148"/>
      <c r="E1" s="148"/>
      <c r="F1" s="148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8.5" thickBot="1" x14ac:dyDescent="0.4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ht="18.5" thickBot="1" x14ac:dyDescent="0.45">
      <c r="A3" s="17" t="s">
        <v>232</v>
      </c>
      <c r="B3" s="18" t="s">
        <v>134</v>
      </c>
      <c r="C3" s="18" t="s">
        <v>134</v>
      </c>
      <c r="D3" s="18" t="s">
        <v>233</v>
      </c>
      <c r="E3" s="18" t="s">
        <v>134</v>
      </c>
      <c r="F3" s="19" t="s">
        <v>134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ht="18" x14ac:dyDescent="0.4">
      <c r="A4" s="20" t="s">
        <v>234</v>
      </c>
      <c r="B4" s="22">
        <v>6500000</v>
      </c>
      <c r="C4" s="21"/>
      <c r="D4" s="64" t="s">
        <v>239</v>
      </c>
      <c r="E4" s="68"/>
      <c r="F4" s="69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ht="18.5" thickBot="1" x14ac:dyDescent="0.45">
      <c r="A5" s="24" t="s">
        <v>238</v>
      </c>
      <c r="B5" s="40">
        <v>61500</v>
      </c>
      <c r="C5" s="26">
        <f>SUM(B4:B5)</f>
        <v>6561500</v>
      </c>
      <c r="D5" s="25" t="s">
        <v>235</v>
      </c>
      <c r="E5" s="26">
        <v>3312000</v>
      </c>
      <c r="F5" s="27"/>
      <c r="G5" s="36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ht="18.5" thickBot="1" x14ac:dyDescent="0.45">
      <c r="A6" s="65" t="s">
        <v>237</v>
      </c>
      <c r="B6" s="66"/>
      <c r="C6" s="25"/>
      <c r="D6" s="25" t="s">
        <v>236</v>
      </c>
      <c r="E6" s="40">
        <v>2985000</v>
      </c>
      <c r="F6" s="28">
        <f>SUM(E5:E6)</f>
        <v>6297000</v>
      </c>
      <c r="G6" s="36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ht="18" x14ac:dyDescent="0.4">
      <c r="A7" s="24" t="s">
        <v>80</v>
      </c>
      <c r="B7" s="25"/>
      <c r="C7" s="26">
        <v>120000</v>
      </c>
      <c r="D7" s="25" t="s">
        <v>175</v>
      </c>
      <c r="E7" s="66"/>
      <c r="F7" s="28">
        <v>55000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ht="18" x14ac:dyDescent="0.4">
      <c r="A8" s="24" t="s">
        <v>206</v>
      </c>
      <c r="B8" s="25"/>
      <c r="C8" s="26">
        <v>300000</v>
      </c>
      <c r="D8" s="25" t="s">
        <v>110</v>
      </c>
      <c r="E8" s="25"/>
      <c r="F8" s="28">
        <v>105000</v>
      </c>
      <c r="G8" s="36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ht="18" x14ac:dyDescent="0.4">
      <c r="A9" s="24" t="s">
        <v>246</v>
      </c>
      <c r="B9" s="25"/>
      <c r="C9" s="26">
        <v>10000</v>
      </c>
      <c r="D9" s="25" t="s">
        <v>241</v>
      </c>
      <c r="E9" s="41"/>
      <c r="F9" s="28">
        <v>245000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ht="18" x14ac:dyDescent="0.4">
      <c r="A10" s="24" t="s">
        <v>247</v>
      </c>
      <c r="B10" s="25"/>
      <c r="C10" s="26">
        <v>2000</v>
      </c>
      <c r="D10" s="71" t="s">
        <v>248</v>
      </c>
      <c r="E10" s="41"/>
      <c r="F10" s="28">
        <v>3000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ht="18" x14ac:dyDescent="0.4">
      <c r="A11" s="24"/>
      <c r="B11" s="25"/>
      <c r="C11" s="26"/>
      <c r="D11" s="25" t="s">
        <v>249</v>
      </c>
      <c r="E11" s="41"/>
      <c r="F11" s="28">
        <v>5000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ht="18" x14ac:dyDescent="0.4">
      <c r="A12" s="24"/>
      <c r="B12" s="25"/>
      <c r="C12" s="26"/>
      <c r="D12" s="44" t="s">
        <v>240</v>
      </c>
      <c r="E12" s="41"/>
      <c r="F12" s="72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ht="18" x14ac:dyDescent="0.4">
      <c r="A13" s="24"/>
      <c r="B13" s="25"/>
      <c r="C13" s="25"/>
      <c r="D13" s="25" t="s">
        <v>181</v>
      </c>
      <c r="E13" s="26">
        <v>42000</v>
      </c>
      <c r="F13" s="70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ht="18.5" thickBot="1" x14ac:dyDescent="0.45">
      <c r="A14" s="24"/>
      <c r="B14" s="25"/>
      <c r="C14" s="25"/>
      <c r="D14" s="25" t="s">
        <v>250</v>
      </c>
      <c r="E14" s="40">
        <v>4200</v>
      </c>
      <c r="F14" s="28">
        <f>E13-E14</f>
        <v>37800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 ht="18" x14ac:dyDescent="0.4">
      <c r="A15" s="24"/>
      <c r="B15" s="25"/>
      <c r="C15" s="25"/>
      <c r="D15" s="25" t="s">
        <v>102</v>
      </c>
      <c r="E15" s="67">
        <v>213000</v>
      </c>
      <c r="F15" s="70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ht="18.5" thickBot="1" x14ac:dyDescent="0.45">
      <c r="A16" s="24"/>
      <c r="B16" s="25"/>
      <c r="C16" s="25"/>
      <c r="D16" s="25" t="s">
        <v>251</v>
      </c>
      <c r="E16" s="40">
        <v>21300</v>
      </c>
      <c r="F16" s="28">
        <f>E15-E16</f>
        <v>191700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 ht="18" x14ac:dyDescent="0.4">
      <c r="A17" s="24"/>
      <c r="B17" s="25"/>
      <c r="C17" s="25"/>
      <c r="D17" s="25" t="s">
        <v>125</v>
      </c>
      <c r="E17" s="67">
        <v>60000</v>
      </c>
      <c r="F17" s="70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ht="18.5" thickBot="1" x14ac:dyDescent="0.45">
      <c r="A18" s="24"/>
      <c r="B18" s="25"/>
      <c r="C18" s="25"/>
      <c r="D18" s="25" t="s">
        <v>251</v>
      </c>
      <c r="E18" s="40">
        <v>6000</v>
      </c>
      <c r="F18" s="28">
        <f>E17-E18</f>
        <v>54000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ht="18" x14ac:dyDescent="0.4">
      <c r="A19" s="24"/>
      <c r="B19" s="25"/>
      <c r="C19" s="25"/>
      <c r="D19" s="25"/>
      <c r="E19" s="66"/>
      <c r="F19" s="27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ht="18.5" thickBot="1" x14ac:dyDescent="0.45">
      <c r="A20" s="29"/>
      <c r="B20" s="30"/>
      <c r="C20" s="37">
        <f>SUM(C5:C10)</f>
        <v>6993500</v>
      </c>
      <c r="D20" s="30"/>
      <c r="E20" s="30"/>
      <c r="F20" s="38">
        <f>SUM(F6:F18)</f>
        <v>6993500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ht="18" x14ac:dyDescent="0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ht="18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ht="18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ht="18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ht="18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ht="18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ht="18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ht="18" x14ac:dyDescent="0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ht="18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19" ht="18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19" ht="18" x14ac:dyDescent="0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19" ht="18" x14ac:dyDescent="0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1:19" ht="18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1:19" ht="18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1:19" ht="18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1:19" ht="18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19" ht="18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1:19" ht="18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19" ht="18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1:19" ht="18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1:19" ht="18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1:19" ht="18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1:19" ht="18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1:19" ht="18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1:19" ht="18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1:19" ht="18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19" ht="18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1:19" ht="18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1:19" ht="18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1:19" ht="18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1:19" ht="18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1:19" ht="18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spans="1:19" ht="18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spans="1:19" ht="18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1:19" ht="18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spans="1:19" ht="18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spans="1:19" ht="18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spans="1:19" ht="18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 spans="1:19" ht="18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 spans="1:19" ht="18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 spans="1:19" ht="18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</row>
    <row r="62" spans="1:19" ht="18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</row>
    <row r="63" spans="1:19" ht="18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</row>
    <row r="64" spans="1:19" ht="18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</row>
    <row r="65" spans="1:19" ht="18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</row>
    <row r="66" spans="1:19" ht="18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</row>
    <row r="67" spans="1:19" ht="18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</row>
    <row r="68" spans="1:19" ht="18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</row>
    <row r="69" spans="1:19" ht="18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</row>
    <row r="70" spans="1:19" ht="18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</row>
    <row r="71" spans="1:19" ht="18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</row>
    <row r="72" spans="1:19" ht="18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</row>
    <row r="73" spans="1:19" ht="18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</row>
    <row r="74" spans="1:19" ht="18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</row>
    <row r="75" spans="1:19" ht="18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</row>
    <row r="76" spans="1:19" ht="18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</row>
    <row r="77" spans="1:19" ht="18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 spans="1:19" ht="18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 spans="1:19" ht="18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</row>
    <row r="80" spans="1:19" ht="18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</row>
    <row r="81" spans="1:19" ht="18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</row>
    <row r="82" spans="1:19" ht="18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</row>
    <row r="83" spans="1:19" ht="18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</row>
    <row r="84" spans="1:19" ht="18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</row>
    <row r="85" spans="1:19" ht="18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</row>
    <row r="86" spans="1:19" ht="18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</row>
    <row r="87" spans="1:19" ht="18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</row>
    <row r="88" spans="1:19" ht="18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</row>
    <row r="89" spans="1:19" ht="18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</row>
    <row r="90" spans="1:19" ht="18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</row>
    <row r="91" spans="1:19" ht="18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</row>
    <row r="92" spans="1:19" ht="18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</row>
    <row r="93" spans="1:19" ht="18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</row>
    <row r="94" spans="1:19" ht="18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</row>
    <row r="95" spans="1:19" ht="18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</row>
    <row r="96" spans="1:19" ht="18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</row>
    <row r="97" spans="1:19" ht="18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</row>
    <row r="98" spans="1:19" ht="18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</row>
    <row r="99" spans="1:19" ht="18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</row>
    <row r="100" spans="1:19" ht="18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</row>
    <row r="101" spans="1:19" ht="18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</row>
    <row r="102" spans="1:19" ht="18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</row>
    <row r="103" spans="1:19" ht="18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</row>
    <row r="104" spans="1:19" ht="18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</row>
    <row r="105" spans="1:19" ht="18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</row>
    <row r="106" spans="1:19" ht="18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</row>
    <row r="107" spans="1:19" ht="18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</row>
    <row r="108" spans="1:19" ht="18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</row>
    <row r="109" spans="1:19" ht="18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</row>
    <row r="110" spans="1:19" ht="18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</row>
    <row r="111" spans="1:19" ht="18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</row>
    <row r="112" spans="1:19" ht="18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</row>
    <row r="113" spans="1:19" ht="18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</row>
    <row r="114" spans="1:19" ht="18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</row>
    <row r="115" spans="1:19" ht="18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</row>
    <row r="116" spans="1:19" ht="18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</row>
    <row r="117" spans="1:19" ht="18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</row>
    <row r="118" spans="1:19" ht="18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</row>
    <row r="119" spans="1:19" ht="18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</row>
    <row r="120" spans="1:19" ht="18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</row>
    <row r="121" spans="1:19" ht="18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</row>
    <row r="122" spans="1:19" ht="18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</row>
    <row r="123" spans="1:19" ht="18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</row>
    <row r="124" spans="1:19" ht="18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</row>
    <row r="125" spans="1:19" ht="18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</row>
    <row r="126" spans="1:19" ht="18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</row>
    <row r="127" spans="1:19" ht="18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</row>
    <row r="128" spans="1:19" ht="18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</row>
    <row r="129" spans="1:19" ht="18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</row>
    <row r="130" spans="1:19" ht="18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</row>
    <row r="131" spans="1:19" ht="18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</row>
    <row r="132" spans="1:19" ht="18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</row>
    <row r="133" spans="1:19" ht="18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</row>
    <row r="134" spans="1:19" ht="18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</row>
    <row r="135" spans="1:19" ht="18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</row>
    <row r="136" spans="1:19" ht="18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</row>
    <row r="137" spans="1:19" ht="18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</row>
    <row r="138" spans="1:19" ht="18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</row>
    <row r="139" spans="1:19" ht="18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</row>
    <row r="140" spans="1:19" ht="18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</row>
    <row r="141" spans="1:19" ht="18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</row>
    <row r="142" spans="1:19" ht="18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</row>
    <row r="143" spans="1:19" ht="18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</row>
    <row r="144" spans="1:19" ht="18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</row>
    <row r="145" spans="1:19" ht="18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</row>
    <row r="146" spans="1:19" ht="18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</row>
    <row r="147" spans="1:19" ht="18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</row>
    <row r="148" spans="1:19" ht="18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</row>
    <row r="149" spans="1:19" ht="18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</row>
    <row r="150" spans="1:19" ht="18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</row>
    <row r="151" spans="1:19" ht="18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</row>
    <row r="152" spans="1:19" ht="18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</row>
    <row r="153" spans="1:19" ht="18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</row>
    <row r="154" spans="1:19" ht="18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</row>
    <row r="155" spans="1:19" ht="18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</row>
    <row r="156" spans="1:19" ht="18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</row>
    <row r="157" spans="1:19" ht="18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</row>
    <row r="158" spans="1:19" ht="18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</row>
    <row r="159" spans="1:19" ht="18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</row>
    <row r="160" spans="1:19" ht="18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</row>
    <row r="161" spans="1:19" ht="18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</row>
    <row r="162" spans="1:19" ht="18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</row>
    <row r="163" spans="1:19" ht="18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</row>
    <row r="164" spans="1:19" ht="18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</row>
    <row r="165" spans="1:19" ht="18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</row>
    <row r="166" spans="1:19" ht="18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</row>
    <row r="167" spans="1:19" ht="18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</row>
    <row r="168" spans="1:19" ht="18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</row>
    <row r="169" spans="1:19" ht="18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</row>
    <row r="170" spans="1:19" ht="18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</row>
    <row r="171" spans="1:19" ht="18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</row>
    <row r="172" spans="1:19" ht="18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</row>
    <row r="173" spans="1:19" ht="18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</row>
    <row r="174" spans="1:19" ht="18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</row>
    <row r="175" spans="1:19" ht="18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</row>
    <row r="176" spans="1:19" ht="18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</row>
    <row r="177" spans="1:19" ht="18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</row>
    <row r="178" spans="1:19" ht="18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</row>
    <row r="179" spans="1:19" ht="18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</row>
    <row r="180" spans="1:19" ht="18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</row>
    <row r="181" spans="1:19" ht="18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</row>
    <row r="182" spans="1:19" ht="18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</row>
    <row r="183" spans="1:19" ht="18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</row>
    <row r="184" spans="1:19" ht="18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</row>
    <row r="185" spans="1:19" ht="18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</row>
    <row r="186" spans="1:19" ht="18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</row>
    <row r="187" spans="1:19" ht="18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</row>
    <row r="188" spans="1:19" ht="18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</row>
    <row r="189" spans="1:19" ht="18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</row>
    <row r="190" spans="1:19" ht="18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</row>
    <row r="191" spans="1:19" ht="18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</row>
    <row r="192" spans="1:19" ht="18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</row>
    <row r="193" spans="1:19" ht="18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</row>
    <row r="194" spans="1:19" ht="18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</row>
    <row r="195" spans="1:19" ht="18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</row>
    <row r="196" spans="1:19" ht="18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</row>
    <row r="197" spans="1:19" ht="18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</row>
    <row r="198" spans="1:19" ht="18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</row>
    <row r="199" spans="1:19" ht="18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</row>
    <row r="200" spans="1:19" ht="18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</row>
    <row r="201" spans="1:19" ht="18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</row>
    <row r="202" spans="1:19" ht="18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</row>
    <row r="203" spans="1:19" ht="18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</row>
    <row r="204" spans="1:19" ht="18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</row>
    <row r="205" spans="1:19" ht="18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</row>
    <row r="206" spans="1:19" ht="18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</row>
    <row r="207" spans="1:19" ht="18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</row>
    <row r="208" spans="1:19" ht="18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</row>
    <row r="209" spans="1:19" ht="18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</row>
    <row r="210" spans="1:19" ht="18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</row>
    <row r="211" spans="1:19" ht="18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</row>
    <row r="212" spans="1:19" ht="18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</row>
    <row r="213" spans="1:19" ht="18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</row>
    <row r="214" spans="1:19" ht="18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</row>
    <row r="215" spans="1:19" ht="18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</row>
    <row r="216" spans="1:19" ht="18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</row>
    <row r="217" spans="1:19" ht="18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</row>
    <row r="218" spans="1:19" ht="18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</row>
    <row r="219" spans="1:19" ht="18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</row>
    <row r="220" spans="1:19" ht="18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</row>
    <row r="221" spans="1:19" ht="18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</row>
    <row r="222" spans="1:19" ht="18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</row>
    <row r="223" spans="1:19" ht="18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</row>
    <row r="224" spans="1:19" ht="18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</row>
    <row r="225" spans="1:19" ht="18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</row>
    <row r="226" spans="1:19" ht="18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</row>
    <row r="227" spans="1:19" ht="18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</row>
    <row r="228" spans="1:19" ht="18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</row>
    <row r="229" spans="1:19" ht="18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</row>
    <row r="230" spans="1:19" ht="18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</row>
    <row r="231" spans="1:19" ht="18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</row>
    <row r="232" spans="1:19" ht="18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</row>
    <row r="233" spans="1:19" ht="18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</row>
    <row r="234" spans="1:19" ht="18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</row>
    <row r="235" spans="1:19" ht="18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</row>
    <row r="236" spans="1:19" ht="18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</row>
    <row r="237" spans="1:19" ht="18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</row>
    <row r="238" spans="1:19" ht="18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</row>
    <row r="239" spans="1:19" ht="18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</row>
    <row r="240" spans="1:19" ht="18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</row>
    <row r="241" spans="1:19" ht="18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</row>
    <row r="242" spans="1:19" ht="18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</row>
    <row r="243" spans="1:19" ht="18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</row>
    <row r="244" spans="1:19" ht="18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</row>
    <row r="245" spans="1:19" ht="18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</row>
    <row r="246" spans="1:19" ht="18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</row>
    <row r="247" spans="1:19" ht="18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</row>
    <row r="248" spans="1:19" ht="18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</row>
    <row r="249" spans="1:19" ht="18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</row>
    <row r="250" spans="1:19" ht="18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</row>
    <row r="251" spans="1:19" ht="18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</row>
    <row r="252" spans="1:19" ht="18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</row>
    <row r="253" spans="1:19" ht="18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</row>
    <row r="254" spans="1:19" ht="18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</row>
    <row r="255" spans="1:19" ht="18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</row>
    <row r="256" spans="1:19" ht="18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</row>
    <row r="257" spans="1:19" ht="18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</row>
    <row r="258" spans="1:19" ht="18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</row>
    <row r="259" spans="1:19" ht="18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</row>
    <row r="260" spans="1:19" ht="18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</row>
    <row r="261" spans="1:19" ht="18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</row>
    <row r="262" spans="1:19" ht="18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</row>
    <row r="263" spans="1:19" ht="18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</row>
    <row r="264" spans="1:19" ht="18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</row>
    <row r="265" spans="1:19" ht="18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</row>
    <row r="266" spans="1:19" ht="18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</row>
    <row r="267" spans="1:19" ht="18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</row>
    <row r="268" spans="1:19" ht="18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</row>
    <row r="269" spans="1:19" ht="18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</row>
    <row r="270" spans="1:19" ht="18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</row>
    <row r="271" spans="1:19" ht="18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</row>
    <row r="272" spans="1:19" ht="18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</row>
    <row r="273" spans="1:19" ht="18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</row>
    <row r="274" spans="1:19" ht="18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</row>
    <row r="275" spans="1:19" ht="18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</row>
    <row r="276" spans="1:19" ht="18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</row>
    <row r="277" spans="1:19" ht="18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</row>
    <row r="278" spans="1:19" ht="18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</row>
    <row r="279" spans="1:19" ht="18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</row>
    <row r="280" spans="1:19" ht="18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</row>
    <row r="281" spans="1:19" ht="18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</row>
    <row r="282" spans="1:19" ht="18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</row>
    <row r="283" spans="1:19" ht="18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</row>
    <row r="284" spans="1:19" ht="18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</row>
    <row r="285" spans="1:19" ht="18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</row>
    <row r="286" spans="1:19" ht="18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12D94-6A56-4468-B8B6-0FBED77F6EB4}">
  <dimension ref="A1:Q1404"/>
  <sheetViews>
    <sheetView tabSelected="1" topLeftCell="C29" workbookViewId="0">
      <selection activeCell="B13" sqref="B13:C13"/>
    </sheetView>
  </sheetViews>
  <sheetFormatPr defaultRowHeight="14.5" x14ac:dyDescent="0.35"/>
  <cols>
    <col min="1" max="1" width="48.81640625" customWidth="1"/>
    <col min="2" max="2" width="72.6328125" customWidth="1"/>
    <col min="3" max="3" width="79.453125" customWidth="1"/>
    <col min="4" max="4" width="134.1796875" customWidth="1"/>
  </cols>
  <sheetData>
    <row r="1" spans="1:17" ht="18" x14ac:dyDescent="0.4">
      <c r="A1" s="125" t="s">
        <v>252</v>
      </c>
      <c r="B1" s="126"/>
      <c r="C1" s="127"/>
      <c r="D1" s="73" t="s">
        <v>253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18.5" thickBot="1" x14ac:dyDescent="0.45">
      <c r="A2" s="128" t="s">
        <v>254</v>
      </c>
      <c r="B2" s="129"/>
      <c r="C2" s="130"/>
      <c r="D2" s="74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18" x14ac:dyDescent="0.4">
      <c r="A3" s="75" t="s">
        <v>255</v>
      </c>
      <c r="B3" s="121" t="s">
        <v>347</v>
      </c>
      <c r="C3" s="122"/>
      <c r="D3" s="76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18" x14ac:dyDescent="0.4">
      <c r="A4" s="77"/>
      <c r="B4" s="77"/>
      <c r="C4" s="77"/>
      <c r="D4" s="78" t="s">
        <v>256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18" x14ac:dyDescent="0.4">
      <c r="A5" s="79" t="s">
        <v>257</v>
      </c>
      <c r="B5" s="80" t="s">
        <v>258</v>
      </c>
      <c r="C5" s="81">
        <v>6710000</v>
      </c>
      <c r="D5" s="78" t="s">
        <v>327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18" x14ac:dyDescent="0.4">
      <c r="A6" s="79" t="s">
        <v>259</v>
      </c>
      <c r="B6" s="80" t="s">
        <v>319</v>
      </c>
      <c r="C6" s="81">
        <v>432000</v>
      </c>
      <c r="D6" s="78" t="s">
        <v>260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ht="18.5" thickBot="1" x14ac:dyDescent="0.45">
      <c r="A7" s="82" t="s">
        <v>261</v>
      </c>
      <c r="B7" s="83" t="s">
        <v>317</v>
      </c>
      <c r="C7" s="84">
        <f>C5/C6</f>
        <v>15.532407407407407</v>
      </c>
      <c r="D7" s="85" t="s">
        <v>262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ht="18" x14ac:dyDescent="0.4">
      <c r="A8" s="75" t="s">
        <v>263</v>
      </c>
      <c r="B8" s="131" t="s">
        <v>349</v>
      </c>
      <c r="C8" s="132"/>
      <c r="D8" s="86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ht="18" x14ac:dyDescent="0.4">
      <c r="A9" s="86"/>
      <c r="B9" s="87"/>
      <c r="C9" s="87"/>
      <c r="D9" s="88" t="s">
        <v>264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ht="18" x14ac:dyDescent="0.4">
      <c r="A10" s="89" t="s">
        <v>265</v>
      </c>
      <c r="B10" s="90" t="s">
        <v>348</v>
      </c>
      <c r="C10" s="91">
        <v>6462000</v>
      </c>
      <c r="D10" s="88" t="s">
        <v>328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ht="18" x14ac:dyDescent="0.4">
      <c r="A11" s="89" t="s">
        <v>259</v>
      </c>
      <c r="B11" s="80" t="s">
        <v>319</v>
      </c>
      <c r="C11" s="91">
        <v>432000</v>
      </c>
      <c r="D11" s="88" t="s">
        <v>266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ht="18.5" thickBot="1" x14ac:dyDescent="0.45">
      <c r="A12" s="92" t="s">
        <v>267</v>
      </c>
      <c r="B12" s="93" t="s">
        <v>321</v>
      </c>
      <c r="C12" s="94">
        <f>C10/C11</f>
        <v>14.958333333333334</v>
      </c>
      <c r="D12" s="95" t="s">
        <v>268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ht="18" x14ac:dyDescent="0.4">
      <c r="A13" s="75" t="s">
        <v>269</v>
      </c>
      <c r="B13" s="121" t="s">
        <v>270</v>
      </c>
      <c r="C13" s="122"/>
      <c r="D13" s="96" t="s">
        <v>271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ht="18" x14ac:dyDescent="0.4">
      <c r="A14" s="86"/>
      <c r="B14" s="97"/>
      <c r="C14" s="97"/>
      <c r="D14" s="98" t="s">
        <v>329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ht="18" x14ac:dyDescent="0.4">
      <c r="A15" s="89" t="s">
        <v>272</v>
      </c>
      <c r="B15" s="99" t="s">
        <v>273</v>
      </c>
      <c r="C15" s="100">
        <v>6297000</v>
      </c>
      <c r="D15" s="88" t="s">
        <v>274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ht="18" x14ac:dyDescent="0.4">
      <c r="A16" s="89" t="s">
        <v>259</v>
      </c>
      <c r="B16" s="99" t="s">
        <v>319</v>
      </c>
      <c r="C16" s="100">
        <v>432000</v>
      </c>
      <c r="D16" s="88" t="s">
        <v>275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ht="18.5" thickBot="1" x14ac:dyDescent="0.45">
      <c r="A17" s="92" t="s">
        <v>276</v>
      </c>
      <c r="B17" s="101" t="s">
        <v>320</v>
      </c>
      <c r="C17" s="102">
        <f>C15/C16</f>
        <v>14.576388888888889</v>
      </c>
      <c r="D17" s="95" t="s">
        <v>277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ht="18" x14ac:dyDescent="0.4">
      <c r="A18" s="103" t="s">
        <v>278</v>
      </c>
      <c r="B18" s="121" t="s">
        <v>279</v>
      </c>
      <c r="C18" s="122"/>
      <c r="D18" s="86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ht="18" x14ac:dyDescent="0.4">
      <c r="A19" s="86"/>
      <c r="B19" s="86"/>
      <c r="C19" s="86"/>
      <c r="D19" s="88" t="s">
        <v>264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ht="18" x14ac:dyDescent="0.4">
      <c r="A20" s="89" t="s">
        <v>280</v>
      </c>
      <c r="B20" s="99" t="s">
        <v>259</v>
      </c>
      <c r="C20" s="104">
        <v>432000</v>
      </c>
      <c r="D20" s="88" t="s">
        <v>330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ht="18" x14ac:dyDescent="0.4">
      <c r="A21" s="89" t="s">
        <v>281</v>
      </c>
      <c r="B21" s="105" t="s">
        <v>318</v>
      </c>
      <c r="C21" s="104">
        <v>6561500</v>
      </c>
      <c r="D21" s="88" t="s">
        <v>282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ht="18.5" thickBot="1" x14ac:dyDescent="0.45">
      <c r="A22" s="89" t="s">
        <v>283</v>
      </c>
      <c r="B22" s="106" t="s">
        <v>322</v>
      </c>
      <c r="C22" s="107">
        <f>C20/C21</f>
        <v>6.5838603977748988E-2</v>
      </c>
      <c r="D22" s="95" t="s">
        <v>284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ht="18" x14ac:dyDescent="0.4">
      <c r="A23" s="75" t="s">
        <v>285</v>
      </c>
      <c r="B23" s="121" t="s">
        <v>286</v>
      </c>
      <c r="C23" s="122"/>
      <c r="D23" s="88" t="s">
        <v>287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ht="18" x14ac:dyDescent="0.4">
      <c r="A24" s="86"/>
      <c r="B24" s="86"/>
      <c r="C24" s="86"/>
      <c r="D24" s="88" t="s">
        <v>331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ht="18" x14ac:dyDescent="0.4">
      <c r="A25" s="89" t="s">
        <v>280</v>
      </c>
      <c r="B25" s="99" t="s">
        <v>259</v>
      </c>
      <c r="C25" s="104">
        <v>432000</v>
      </c>
      <c r="D25" s="88" t="s">
        <v>335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ht="18" x14ac:dyDescent="0.4">
      <c r="A26" s="89" t="s">
        <v>288</v>
      </c>
      <c r="B26" s="105" t="s">
        <v>289</v>
      </c>
      <c r="C26" s="104">
        <v>6993500</v>
      </c>
      <c r="D26" s="88" t="s">
        <v>290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ht="18.5" thickBot="1" x14ac:dyDescent="0.45">
      <c r="A27" s="92" t="s">
        <v>291</v>
      </c>
      <c r="B27" s="105" t="s">
        <v>323</v>
      </c>
      <c r="C27" s="108">
        <f>C25/C26</f>
        <v>6.1771645099020521E-2</v>
      </c>
      <c r="D27" s="88" t="s">
        <v>292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ht="18" x14ac:dyDescent="0.4">
      <c r="A28" s="103" t="s">
        <v>293</v>
      </c>
      <c r="B28" s="121" t="s">
        <v>294</v>
      </c>
      <c r="C28" s="122"/>
      <c r="D28" s="76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ht="18" x14ac:dyDescent="0.4">
      <c r="A29" s="86"/>
      <c r="B29" s="86"/>
      <c r="C29" s="86"/>
      <c r="D29" s="88" t="s">
        <v>295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ht="18" x14ac:dyDescent="0.4">
      <c r="A30" s="89" t="s">
        <v>296</v>
      </c>
      <c r="B30" s="105" t="s">
        <v>297</v>
      </c>
      <c r="C30" s="104">
        <v>610000</v>
      </c>
      <c r="D30" s="88" t="s">
        <v>332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ht="18" x14ac:dyDescent="0.4">
      <c r="A31" s="89" t="s">
        <v>288</v>
      </c>
      <c r="B31" s="105" t="s">
        <v>289</v>
      </c>
      <c r="C31" s="104">
        <v>6993500</v>
      </c>
      <c r="D31" s="88" t="s">
        <v>336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ht="18.5" thickBot="1" x14ac:dyDescent="0.45">
      <c r="A32" s="89" t="s">
        <v>298</v>
      </c>
      <c r="B32" s="106" t="s">
        <v>324</v>
      </c>
      <c r="C32" s="107">
        <f>C30/C31</f>
        <v>8.7223850718524343E-2</v>
      </c>
      <c r="D32" s="95" t="s">
        <v>299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ht="18" x14ac:dyDescent="0.4">
      <c r="A33" s="75" t="s">
        <v>300</v>
      </c>
      <c r="B33" s="121" t="s">
        <v>301</v>
      </c>
      <c r="C33" s="122"/>
      <c r="D33" s="86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ht="18" x14ac:dyDescent="0.4">
      <c r="A34" s="86"/>
      <c r="B34" s="86"/>
      <c r="C34" s="86"/>
      <c r="D34" s="88" t="s">
        <v>302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ht="18" x14ac:dyDescent="0.4">
      <c r="A35" s="89" t="s">
        <v>296</v>
      </c>
      <c r="B35" s="105" t="s">
        <v>297</v>
      </c>
      <c r="C35" s="104">
        <v>610000</v>
      </c>
      <c r="D35" s="98" t="s">
        <v>333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ht="18" x14ac:dyDescent="0.4">
      <c r="A36" s="89" t="s">
        <v>303</v>
      </c>
      <c r="B36" s="105" t="s">
        <v>304</v>
      </c>
      <c r="C36" s="104">
        <f>C5-C6</f>
        <v>6278000</v>
      </c>
      <c r="D36" s="88" t="s">
        <v>337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ht="18.5" thickBot="1" x14ac:dyDescent="0.45">
      <c r="A37" s="92" t="s">
        <v>305</v>
      </c>
      <c r="B37" s="106" t="s">
        <v>325</v>
      </c>
      <c r="C37" s="107">
        <f>C35/C36</f>
        <v>9.7164702134437717E-2</v>
      </c>
      <c r="D37" s="95" t="s">
        <v>306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ht="18" x14ac:dyDescent="0.4">
      <c r="A38" s="109" t="s">
        <v>307</v>
      </c>
      <c r="B38" s="123" t="s">
        <v>308</v>
      </c>
      <c r="C38" s="124"/>
      <c r="D38" s="110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8" x14ac:dyDescent="0.4">
      <c r="A39" s="111"/>
      <c r="B39" s="111"/>
      <c r="C39" s="111"/>
      <c r="D39" s="112" t="s">
        <v>309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ht="18" x14ac:dyDescent="0.4">
      <c r="A40" s="113" t="s">
        <v>310</v>
      </c>
      <c r="B40" s="114" t="s">
        <v>311</v>
      </c>
      <c r="C40" s="115">
        <v>430000</v>
      </c>
      <c r="D40" s="116" t="s">
        <v>334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ht="18" x14ac:dyDescent="0.4">
      <c r="A41" s="113" t="s">
        <v>312</v>
      </c>
      <c r="B41" s="114" t="s">
        <v>313</v>
      </c>
      <c r="C41" s="115">
        <v>122500</v>
      </c>
      <c r="D41" s="112" t="s">
        <v>314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ht="18.5" thickBot="1" x14ac:dyDescent="0.45">
      <c r="A42" s="117" t="s">
        <v>315</v>
      </c>
      <c r="B42" s="118" t="s">
        <v>326</v>
      </c>
      <c r="C42" s="119">
        <f>C40/C41</f>
        <v>3.510204081632653</v>
      </c>
      <c r="D42" s="120" t="s">
        <v>316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ht="18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ht="18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ht="18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ht="18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ht="18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ht="18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ht="18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 ht="18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ht="18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ht="18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ht="18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ht="18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ht="18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 ht="18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 ht="18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 ht="18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 ht="18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 ht="18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 ht="18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 ht="18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 ht="18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 ht="18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 ht="18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 ht="18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 ht="18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 ht="18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 ht="18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 ht="18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ht="18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ht="18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ht="18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ht="18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ht="18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ht="18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 ht="18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 ht="18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 ht="18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ht="18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 ht="18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ht="18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ht="18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ht="18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 ht="18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 ht="18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 ht="18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 ht="18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 ht="18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 ht="18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 ht="18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 ht="18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ht="18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 ht="18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1:17" ht="18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 ht="18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 ht="18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 ht="18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 ht="18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 ht="18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 spans="1:17" ht="18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 spans="1:17" ht="18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 spans="1:17" ht="18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 spans="1:17" ht="18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 spans="1:17" ht="18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 spans="1:17" ht="18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 spans="1:17" ht="18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 spans="1:17" ht="18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spans="1:17" ht="18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 spans="1:17" ht="18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 spans="1:17" ht="18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 spans="1:17" ht="18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 spans="1:17" ht="18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 spans="1:17" ht="18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 spans="1:17" ht="18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 spans="1:17" ht="18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 spans="1:17" ht="18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 spans="1:17" ht="18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 spans="1:17" ht="18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 spans="1:17" ht="18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 spans="1:17" ht="18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 spans="1:17" ht="18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 spans="1:17" ht="18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 spans="1:17" ht="18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 spans="1:17" ht="18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 spans="1:17" ht="18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 spans="1:17" ht="18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 spans="1:17" ht="18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 spans="1:17" ht="18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 spans="1:17" ht="18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 spans="1:17" ht="18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 spans="1:17" ht="18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 spans="1:17" ht="18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 spans="1:17" ht="18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 spans="1:17" ht="18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 spans="1:17" ht="18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 spans="1:17" ht="18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</row>
    <row r="138" spans="1:17" ht="18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</row>
    <row r="139" spans="1:17" ht="18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</row>
    <row r="140" spans="1:17" ht="18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</row>
    <row r="141" spans="1:17" ht="18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</row>
    <row r="142" spans="1:17" ht="18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</row>
    <row r="143" spans="1:17" ht="18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</row>
    <row r="144" spans="1:17" ht="18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</row>
    <row r="145" spans="1:17" ht="18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</row>
    <row r="146" spans="1:17" ht="18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</row>
    <row r="147" spans="1:17" ht="18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</row>
    <row r="148" spans="1:17" ht="18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</row>
    <row r="149" spans="1:17" ht="18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</row>
    <row r="150" spans="1:17" ht="18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</row>
    <row r="151" spans="1:17" ht="18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</row>
    <row r="152" spans="1:17" ht="18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</row>
    <row r="153" spans="1:17" ht="18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</row>
    <row r="154" spans="1:17" ht="18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</row>
    <row r="155" spans="1:17" ht="18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</row>
    <row r="156" spans="1:17" ht="18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</row>
    <row r="157" spans="1:17" ht="18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</row>
    <row r="158" spans="1:17" ht="18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</row>
    <row r="159" spans="1:17" ht="18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</row>
    <row r="160" spans="1:17" ht="18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</row>
    <row r="161" spans="1:17" ht="18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</row>
    <row r="162" spans="1:17" ht="18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</row>
    <row r="163" spans="1:17" ht="18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</row>
    <row r="164" spans="1:17" ht="18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</row>
    <row r="165" spans="1:17" ht="18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</row>
    <row r="166" spans="1:17" ht="18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</row>
    <row r="167" spans="1:17" ht="18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</row>
    <row r="168" spans="1:17" ht="18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</row>
    <row r="169" spans="1:17" ht="18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</row>
    <row r="170" spans="1:17" ht="18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</row>
    <row r="171" spans="1:17" ht="18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</row>
    <row r="172" spans="1:17" ht="18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</row>
    <row r="173" spans="1:17" ht="18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</row>
    <row r="174" spans="1:17" ht="18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</row>
    <row r="175" spans="1:17" ht="18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</row>
    <row r="176" spans="1:17" ht="18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</row>
    <row r="177" spans="1:17" ht="18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</row>
    <row r="178" spans="1:17" ht="18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</row>
    <row r="179" spans="1:17" ht="18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</row>
    <row r="180" spans="1:17" ht="18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</row>
    <row r="181" spans="1:17" ht="18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</row>
    <row r="182" spans="1:17" ht="18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</row>
    <row r="183" spans="1:17" ht="18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</row>
    <row r="184" spans="1:17" ht="18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</row>
    <row r="185" spans="1:17" ht="18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</row>
    <row r="186" spans="1:17" ht="18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</row>
    <row r="187" spans="1:17" ht="18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</row>
    <row r="188" spans="1:17" ht="18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</row>
    <row r="189" spans="1:17" ht="18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</row>
    <row r="190" spans="1:17" ht="18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</row>
    <row r="191" spans="1:17" ht="18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</row>
    <row r="192" spans="1:17" ht="18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</row>
    <row r="193" spans="1:17" ht="18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</row>
    <row r="194" spans="1:17" ht="18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</row>
    <row r="195" spans="1:17" ht="18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</row>
    <row r="196" spans="1:17" ht="18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</row>
    <row r="197" spans="1:17" ht="18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</row>
    <row r="198" spans="1:17" ht="18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</row>
    <row r="199" spans="1:17" ht="18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</row>
    <row r="200" spans="1:17" ht="18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</row>
    <row r="201" spans="1:17" ht="18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</row>
    <row r="202" spans="1:17" ht="18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</row>
    <row r="203" spans="1:17" ht="18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</row>
    <row r="204" spans="1:17" ht="18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</row>
    <row r="205" spans="1:17" ht="18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</row>
    <row r="206" spans="1:17" ht="18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</row>
    <row r="207" spans="1:17" ht="18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</row>
    <row r="208" spans="1:17" ht="18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</row>
    <row r="209" spans="1:17" ht="18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</row>
    <row r="210" spans="1:17" ht="18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</row>
    <row r="211" spans="1:17" ht="18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</row>
    <row r="212" spans="1:17" ht="18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</row>
    <row r="213" spans="1:17" ht="18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</row>
    <row r="214" spans="1:17" ht="18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</row>
    <row r="215" spans="1:17" ht="18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</row>
    <row r="216" spans="1:17" ht="18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</row>
    <row r="217" spans="1:17" ht="18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</row>
    <row r="218" spans="1:17" ht="18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</row>
    <row r="219" spans="1:17" ht="18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</row>
    <row r="220" spans="1:17" ht="18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</row>
    <row r="221" spans="1:17" ht="18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</row>
    <row r="222" spans="1:17" ht="18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</row>
    <row r="223" spans="1:17" ht="18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</row>
    <row r="224" spans="1:17" ht="18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</row>
    <row r="225" spans="1:17" ht="18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</row>
    <row r="226" spans="1:17" ht="18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</row>
    <row r="227" spans="1:17" ht="18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</row>
    <row r="228" spans="1:17" ht="18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</row>
    <row r="229" spans="1:17" ht="18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</row>
    <row r="230" spans="1:17" ht="18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</row>
    <row r="231" spans="1:17" ht="18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</row>
    <row r="232" spans="1:17" ht="18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</row>
    <row r="233" spans="1:17" ht="18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</row>
    <row r="234" spans="1:17" ht="18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</row>
    <row r="235" spans="1:17" ht="18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</row>
    <row r="236" spans="1:17" ht="18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</row>
    <row r="237" spans="1:17" ht="18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</row>
    <row r="238" spans="1:17" ht="18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</row>
    <row r="239" spans="1:17" ht="18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</row>
    <row r="240" spans="1:17" ht="18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</row>
    <row r="241" spans="1:17" ht="18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</row>
    <row r="242" spans="1:17" ht="18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</row>
    <row r="243" spans="1:17" ht="18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</row>
    <row r="244" spans="1:17" ht="18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</row>
    <row r="245" spans="1:17" ht="18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</row>
    <row r="246" spans="1:17" ht="18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</row>
    <row r="247" spans="1:17" ht="18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</row>
    <row r="248" spans="1:17" ht="18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</row>
    <row r="249" spans="1:17" ht="18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</row>
    <row r="250" spans="1:17" ht="18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</row>
    <row r="251" spans="1:17" ht="18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</row>
    <row r="252" spans="1:17" ht="18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</row>
    <row r="253" spans="1:17" ht="18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</row>
    <row r="254" spans="1:17" ht="18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</row>
    <row r="255" spans="1:17" ht="18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</row>
    <row r="256" spans="1:17" ht="18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</row>
    <row r="257" spans="1:17" ht="18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</row>
    <row r="258" spans="1:17" ht="18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</row>
    <row r="259" spans="1:17" ht="18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</row>
    <row r="260" spans="1:17" ht="18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</row>
    <row r="261" spans="1:17" ht="18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</row>
    <row r="262" spans="1:17" ht="18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</row>
    <row r="263" spans="1:17" ht="18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</row>
    <row r="264" spans="1:17" ht="18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</row>
    <row r="265" spans="1:17" ht="18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</row>
    <row r="266" spans="1:17" ht="18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</row>
    <row r="267" spans="1:17" ht="18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</row>
    <row r="268" spans="1:17" ht="18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</row>
    <row r="269" spans="1:17" ht="18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</row>
    <row r="270" spans="1:17" ht="18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</row>
    <row r="271" spans="1:17" ht="18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</row>
    <row r="272" spans="1:17" ht="18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</row>
    <row r="273" spans="1:17" ht="18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</row>
    <row r="274" spans="1:17" ht="18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</row>
    <row r="275" spans="1:17" ht="18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</row>
    <row r="276" spans="1:17" ht="18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</row>
    <row r="277" spans="1:17" ht="18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</row>
    <row r="278" spans="1:17" ht="18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</row>
    <row r="279" spans="1:17" ht="18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</row>
    <row r="280" spans="1:17" ht="18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</row>
    <row r="281" spans="1:17" ht="18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</row>
    <row r="282" spans="1:17" ht="18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</row>
    <row r="283" spans="1:17" ht="18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</row>
    <row r="284" spans="1:17" ht="18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</row>
    <row r="285" spans="1:17" ht="18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</row>
    <row r="286" spans="1:17" ht="18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</row>
    <row r="287" spans="1:17" ht="18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</row>
    <row r="288" spans="1:17" ht="18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</row>
    <row r="289" spans="1:17" ht="18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</row>
    <row r="290" spans="1:17" ht="18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</row>
    <row r="291" spans="1:17" ht="18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</row>
    <row r="292" spans="1:17" ht="18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</row>
    <row r="293" spans="1:17" ht="18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</row>
    <row r="294" spans="1:17" ht="18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</row>
    <row r="295" spans="1:17" ht="18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</row>
    <row r="296" spans="1:17" ht="18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</row>
    <row r="297" spans="1:17" ht="18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</row>
    <row r="298" spans="1:17" ht="18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</row>
    <row r="299" spans="1:17" ht="18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</row>
    <row r="300" spans="1:17" ht="18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</row>
    <row r="301" spans="1:17" ht="18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</row>
    <row r="302" spans="1:17" ht="18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</row>
    <row r="303" spans="1:17" ht="18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</row>
    <row r="304" spans="1:17" ht="18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</row>
    <row r="305" spans="1:17" ht="18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</row>
    <row r="306" spans="1:17" ht="18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</row>
    <row r="307" spans="1:17" ht="18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</row>
    <row r="308" spans="1:17" ht="18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</row>
    <row r="309" spans="1:17" ht="18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</row>
    <row r="310" spans="1:17" ht="18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</row>
    <row r="311" spans="1:17" ht="18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</row>
    <row r="312" spans="1:17" ht="18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</row>
    <row r="313" spans="1:17" ht="18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</row>
    <row r="314" spans="1:17" ht="18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</row>
    <row r="315" spans="1:17" ht="18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</row>
    <row r="316" spans="1:17" ht="18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</row>
    <row r="317" spans="1:17" ht="18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</row>
    <row r="318" spans="1:17" ht="18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</row>
    <row r="319" spans="1:17" ht="18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</row>
    <row r="320" spans="1:17" ht="18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</row>
    <row r="321" spans="1:17" ht="18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</row>
    <row r="322" spans="1:17" ht="18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</row>
    <row r="323" spans="1:17" ht="18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</row>
    <row r="324" spans="1:17" ht="18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</row>
    <row r="325" spans="1:17" ht="18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</row>
    <row r="326" spans="1:17" ht="18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</row>
    <row r="327" spans="1:17" ht="18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</row>
    <row r="328" spans="1:17" ht="18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</row>
    <row r="329" spans="1:17" ht="18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</row>
    <row r="330" spans="1:17" ht="18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</row>
    <row r="331" spans="1:17" ht="18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</row>
    <row r="332" spans="1:17" ht="18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</row>
    <row r="333" spans="1:17" ht="18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</row>
    <row r="334" spans="1:17" ht="18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</row>
    <row r="335" spans="1:17" ht="18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</row>
    <row r="336" spans="1:17" ht="18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</row>
    <row r="337" spans="1:17" ht="18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</row>
    <row r="338" spans="1:17" ht="18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</row>
    <row r="339" spans="1:17" ht="18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</row>
    <row r="340" spans="1:17" ht="18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</row>
    <row r="341" spans="1:17" ht="18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</row>
    <row r="342" spans="1:17" ht="18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</row>
    <row r="343" spans="1:17" ht="18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</row>
    <row r="344" spans="1:17" ht="18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</row>
    <row r="345" spans="1:17" ht="18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</row>
    <row r="346" spans="1:17" ht="18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</row>
    <row r="347" spans="1:17" ht="18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</row>
    <row r="348" spans="1:17" ht="18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</row>
    <row r="349" spans="1:17" ht="18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</row>
    <row r="350" spans="1:17" ht="18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</row>
    <row r="351" spans="1:17" ht="18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</row>
    <row r="352" spans="1:17" ht="18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</row>
    <row r="353" spans="1:17" ht="18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</row>
    <row r="354" spans="1:17" ht="18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</row>
    <row r="355" spans="1:17" ht="18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</row>
    <row r="356" spans="1:17" ht="18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</row>
    <row r="357" spans="1:17" ht="18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</row>
    <row r="358" spans="1:17" ht="18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</row>
    <row r="359" spans="1:17" ht="18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</row>
    <row r="360" spans="1:17" ht="18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</row>
    <row r="361" spans="1:17" ht="18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</row>
    <row r="362" spans="1:17" ht="18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</row>
    <row r="363" spans="1:17" ht="18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</row>
    <row r="364" spans="1:17" ht="18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</row>
    <row r="365" spans="1:17" ht="18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</row>
    <row r="366" spans="1:17" ht="18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</row>
    <row r="367" spans="1:17" ht="18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</row>
    <row r="368" spans="1:17" ht="18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</row>
    <row r="369" spans="1:17" ht="18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</row>
    <row r="370" spans="1:17" ht="18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</row>
    <row r="371" spans="1:17" ht="18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</row>
    <row r="372" spans="1:17" ht="18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</row>
    <row r="373" spans="1:17" ht="18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</row>
    <row r="374" spans="1:17" ht="18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</row>
    <row r="375" spans="1:17" ht="18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</row>
    <row r="376" spans="1:17" ht="18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</row>
    <row r="377" spans="1:17" ht="18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</row>
    <row r="378" spans="1:17" ht="18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</row>
    <row r="379" spans="1:17" ht="18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</row>
    <row r="380" spans="1:17" ht="18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</row>
    <row r="381" spans="1:17" ht="18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</row>
    <row r="382" spans="1:17" ht="18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</row>
    <row r="383" spans="1:17" ht="18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</row>
    <row r="384" spans="1:17" ht="18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</row>
    <row r="385" spans="1:17" ht="18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</row>
    <row r="386" spans="1:17" ht="18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</row>
    <row r="387" spans="1:17" ht="18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</row>
    <row r="388" spans="1:17" ht="18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</row>
    <row r="389" spans="1:17" ht="18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</row>
    <row r="390" spans="1:17" ht="18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</row>
    <row r="391" spans="1:17" ht="18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</row>
    <row r="392" spans="1:17" ht="18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</row>
    <row r="393" spans="1:17" ht="18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</row>
    <row r="394" spans="1:17" ht="18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</row>
    <row r="395" spans="1:17" ht="18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</row>
    <row r="396" spans="1:17" ht="18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</row>
    <row r="397" spans="1:17" ht="18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</row>
    <row r="398" spans="1:17" ht="18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</row>
    <row r="399" spans="1:17" ht="18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</row>
    <row r="400" spans="1:17" ht="18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</row>
    <row r="401" spans="1:17" ht="18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</row>
    <row r="402" spans="1:17" ht="18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</row>
    <row r="403" spans="1:17" ht="18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</row>
    <row r="404" spans="1:17" ht="18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</row>
    <row r="405" spans="1:17" ht="18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</row>
    <row r="406" spans="1:17" ht="18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</row>
    <row r="407" spans="1:17" ht="18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</row>
    <row r="408" spans="1:17" ht="18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</row>
    <row r="409" spans="1:17" ht="18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</row>
    <row r="410" spans="1:17" ht="18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</row>
    <row r="411" spans="1:17" ht="18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</row>
    <row r="412" spans="1:17" ht="18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</row>
    <row r="413" spans="1:17" ht="18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</row>
    <row r="414" spans="1:17" ht="18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</row>
    <row r="415" spans="1:17" ht="18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</row>
    <row r="416" spans="1:17" ht="18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</row>
    <row r="417" spans="1:17" ht="18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</row>
    <row r="418" spans="1:17" ht="18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</row>
    <row r="419" spans="1:17" ht="18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</row>
    <row r="420" spans="1:17" ht="18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</row>
    <row r="421" spans="1:17" ht="18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</row>
    <row r="422" spans="1:17" ht="18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</row>
    <row r="423" spans="1:17" ht="18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</row>
    <row r="424" spans="1:17" ht="18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</row>
    <row r="425" spans="1:17" ht="18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</row>
    <row r="426" spans="1:17" ht="18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</row>
    <row r="427" spans="1:17" ht="18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</row>
    <row r="428" spans="1:17" ht="18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</row>
    <row r="429" spans="1:17" ht="18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</row>
    <row r="430" spans="1:17" ht="18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</row>
    <row r="431" spans="1:17" ht="18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</row>
    <row r="432" spans="1:17" ht="18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</row>
    <row r="433" spans="1:17" ht="18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</row>
    <row r="434" spans="1:17" ht="18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</row>
    <row r="435" spans="1:17" ht="18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</row>
    <row r="436" spans="1:17" ht="18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</row>
    <row r="437" spans="1:17" ht="18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</row>
    <row r="438" spans="1:17" ht="18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</row>
    <row r="439" spans="1:17" ht="18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</row>
    <row r="440" spans="1:17" ht="18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</row>
    <row r="441" spans="1:17" ht="18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</row>
    <row r="442" spans="1:17" ht="18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</row>
    <row r="443" spans="1:17" ht="18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</row>
    <row r="444" spans="1:17" ht="18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</row>
    <row r="445" spans="1:17" ht="18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</row>
    <row r="446" spans="1:17" ht="18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</row>
    <row r="447" spans="1:17" ht="18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</row>
    <row r="448" spans="1:17" ht="18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</row>
    <row r="449" spans="1:17" ht="18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</row>
    <row r="450" spans="1:17" ht="18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</row>
    <row r="451" spans="1:17" ht="18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</row>
    <row r="452" spans="1:17" ht="18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</row>
    <row r="453" spans="1:17" ht="18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</row>
    <row r="454" spans="1:17" ht="18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</row>
    <row r="455" spans="1:17" ht="18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</row>
    <row r="456" spans="1:17" ht="18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</row>
    <row r="457" spans="1:17" ht="18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</row>
    <row r="458" spans="1:17" ht="18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</row>
    <row r="459" spans="1:17" ht="18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</row>
    <row r="460" spans="1:17" ht="18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</row>
    <row r="461" spans="1:17" ht="18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</row>
    <row r="462" spans="1:17" ht="18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</row>
    <row r="463" spans="1:17" ht="18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</row>
    <row r="464" spans="1:17" ht="18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</row>
    <row r="465" spans="1:17" ht="18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</row>
    <row r="466" spans="1:17" ht="18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</row>
    <row r="467" spans="1:17" ht="18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</row>
    <row r="468" spans="1:17" ht="18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</row>
    <row r="469" spans="1:17" ht="18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</row>
    <row r="470" spans="1:17" ht="18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</row>
    <row r="471" spans="1:17" ht="18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</row>
    <row r="472" spans="1:17" ht="18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</row>
    <row r="473" spans="1:17" ht="18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</row>
    <row r="474" spans="1:17" ht="18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</row>
    <row r="475" spans="1:17" ht="18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</row>
    <row r="476" spans="1:17" ht="18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</row>
    <row r="477" spans="1:17" ht="18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</row>
    <row r="478" spans="1:17" ht="18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</row>
    <row r="479" spans="1:17" ht="18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</row>
    <row r="480" spans="1:17" ht="18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</row>
    <row r="481" spans="1:17" ht="18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</row>
    <row r="482" spans="1:17" ht="18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</row>
    <row r="483" spans="1:17" ht="18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</row>
    <row r="484" spans="1:17" ht="18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</row>
    <row r="485" spans="1:17" ht="18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</row>
    <row r="486" spans="1:17" ht="18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</row>
    <row r="487" spans="1:17" ht="18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</row>
    <row r="488" spans="1:17" ht="18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</row>
    <row r="489" spans="1:17" ht="18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</row>
    <row r="490" spans="1:17" ht="18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</row>
    <row r="491" spans="1:17" ht="18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</row>
    <row r="492" spans="1:17" ht="18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</row>
    <row r="493" spans="1:17" ht="18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</row>
    <row r="494" spans="1:17" ht="18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</row>
    <row r="495" spans="1:17" ht="18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</row>
    <row r="496" spans="1:17" ht="18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</row>
    <row r="497" spans="1:17" ht="18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</row>
    <row r="498" spans="1:17" ht="18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</row>
    <row r="499" spans="1:17" ht="18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</row>
    <row r="500" spans="1:17" ht="18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</row>
    <row r="501" spans="1:17" ht="18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</row>
    <row r="502" spans="1:17" ht="18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</row>
    <row r="503" spans="1:17" ht="18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</row>
    <row r="504" spans="1:17" ht="18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</row>
    <row r="505" spans="1:17" ht="18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</row>
    <row r="506" spans="1:17" ht="18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</row>
    <row r="507" spans="1:17" ht="18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</row>
    <row r="508" spans="1:17" ht="18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</row>
    <row r="509" spans="1:17" ht="18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</row>
    <row r="510" spans="1:17" ht="18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</row>
    <row r="511" spans="1:17" ht="18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</row>
    <row r="512" spans="1:17" ht="18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</row>
    <row r="513" spans="1:17" ht="18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</row>
    <row r="514" spans="1:17" ht="18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</row>
    <row r="515" spans="1:17" ht="18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</row>
    <row r="516" spans="1:17" ht="18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</row>
    <row r="517" spans="1:17" ht="18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</row>
    <row r="518" spans="1:17" ht="18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</row>
    <row r="519" spans="1:17" ht="18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</row>
    <row r="520" spans="1:17" ht="18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</row>
    <row r="521" spans="1:17" ht="18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</row>
    <row r="522" spans="1:17" ht="18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</row>
    <row r="523" spans="1:17" ht="18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</row>
    <row r="524" spans="1:17" ht="18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</row>
    <row r="525" spans="1:17" ht="18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</row>
    <row r="526" spans="1:17" ht="18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</row>
    <row r="527" spans="1:17" ht="18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</row>
    <row r="528" spans="1:17" ht="18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</row>
    <row r="529" spans="1:17" ht="18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</row>
    <row r="530" spans="1:17" ht="18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</row>
    <row r="531" spans="1:17" ht="18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</row>
    <row r="532" spans="1:17" ht="18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</row>
    <row r="533" spans="1:17" ht="18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</row>
    <row r="534" spans="1:17" ht="18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</row>
    <row r="535" spans="1:17" ht="18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</row>
    <row r="536" spans="1:17" ht="18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</row>
    <row r="537" spans="1:17" ht="18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</row>
    <row r="538" spans="1:17" ht="18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</row>
    <row r="539" spans="1:17" ht="18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</row>
    <row r="540" spans="1:17" ht="18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</row>
    <row r="541" spans="1:17" ht="18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</row>
    <row r="542" spans="1:17" ht="18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</row>
    <row r="543" spans="1:17" ht="18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</row>
    <row r="544" spans="1:17" ht="18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</row>
    <row r="545" spans="1:17" ht="18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</row>
    <row r="546" spans="1:17" ht="18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</row>
    <row r="547" spans="1:17" ht="18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</row>
    <row r="548" spans="1:17" ht="18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</row>
    <row r="549" spans="1:17" ht="18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</row>
    <row r="550" spans="1:17" ht="18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</row>
    <row r="551" spans="1:17" ht="18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</row>
    <row r="552" spans="1:17" ht="18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</row>
    <row r="553" spans="1:17" ht="18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</row>
    <row r="554" spans="1:17" ht="18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</row>
    <row r="555" spans="1:17" ht="18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</row>
    <row r="556" spans="1:17" ht="18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</row>
    <row r="557" spans="1:17" ht="18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</row>
    <row r="558" spans="1:17" ht="18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</row>
    <row r="559" spans="1:17" ht="18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</row>
    <row r="560" spans="1:17" ht="18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</row>
    <row r="561" spans="1:17" ht="18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</row>
    <row r="562" spans="1:17" ht="18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</row>
    <row r="563" spans="1:17" ht="18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</row>
    <row r="564" spans="1:17" ht="18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</row>
    <row r="565" spans="1:17" ht="18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</row>
    <row r="566" spans="1:17" ht="18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</row>
    <row r="567" spans="1:17" ht="18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</row>
    <row r="568" spans="1:17" ht="18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</row>
    <row r="569" spans="1:17" ht="18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</row>
    <row r="570" spans="1:17" ht="18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</row>
    <row r="571" spans="1:17" ht="18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</row>
    <row r="572" spans="1:17" ht="18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</row>
    <row r="573" spans="1:17" ht="18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</row>
    <row r="574" spans="1:17" ht="18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</row>
    <row r="575" spans="1:17" ht="18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</row>
    <row r="576" spans="1:17" ht="18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</row>
    <row r="577" spans="1:17" ht="18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</row>
    <row r="578" spans="1:17" ht="18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</row>
    <row r="579" spans="1:17" ht="18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</row>
    <row r="580" spans="1:17" ht="18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</row>
    <row r="581" spans="1:17" ht="18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</row>
    <row r="582" spans="1:17" ht="18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</row>
    <row r="583" spans="1:17" ht="18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</row>
    <row r="584" spans="1:17" ht="18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</row>
    <row r="585" spans="1:17" ht="18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</row>
    <row r="586" spans="1:17" ht="18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</row>
    <row r="587" spans="1:17" ht="18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</row>
    <row r="588" spans="1:17" ht="18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</row>
    <row r="589" spans="1:17" ht="18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</row>
    <row r="590" spans="1:17" ht="18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</row>
    <row r="591" spans="1:17" ht="18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</row>
    <row r="592" spans="1:17" ht="18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</row>
    <row r="593" spans="1:17" ht="18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</row>
    <row r="594" spans="1:17" ht="18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</row>
    <row r="595" spans="1:17" ht="18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</row>
    <row r="596" spans="1:17" ht="18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</row>
    <row r="597" spans="1:17" ht="18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</row>
    <row r="598" spans="1:17" ht="18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</row>
    <row r="599" spans="1:17" ht="18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</row>
    <row r="600" spans="1:17" ht="18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</row>
    <row r="601" spans="1:17" ht="18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</row>
    <row r="602" spans="1:17" ht="18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</row>
    <row r="603" spans="1:17" ht="18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</row>
    <row r="604" spans="1:17" ht="18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</row>
    <row r="605" spans="1:17" ht="18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</row>
    <row r="606" spans="1:17" ht="18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</row>
    <row r="607" spans="1:17" ht="18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</row>
    <row r="608" spans="1:17" ht="18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</row>
    <row r="609" spans="1:17" ht="18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</row>
    <row r="610" spans="1:17" ht="18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</row>
    <row r="611" spans="1:17" ht="18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</row>
    <row r="612" spans="1:17" ht="18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</row>
    <row r="613" spans="1:17" ht="18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</row>
    <row r="614" spans="1:17" ht="18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</row>
    <row r="615" spans="1:17" ht="18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</row>
    <row r="616" spans="1:17" ht="18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</row>
    <row r="617" spans="1:17" ht="18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</row>
    <row r="618" spans="1:17" ht="18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</row>
    <row r="619" spans="1:17" ht="18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</row>
    <row r="620" spans="1:17" ht="18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</row>
    <row r="621" spans="1:17" ht="18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</row>
    <row r="622" spans="1:17" ht="18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</row>
    <row r="623" spans="1:17" ht="18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</row>
    <row r="624" spans="1:17" ht="18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</row>
    <row r="625" spans="1:17" ht="18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</row>
    <row r="626" spans="1:17" ht="18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</row>
    <row r="627" spans="1:17" ht="18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</row>
    <row r="628" spans="1:17" ht="18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</row>
    <row r="629" spans="1:17" ht="18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</row>
    <row r="630" spans="1:17" ht="18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</row>
    <row r="631" spans="1:17" ht="18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</row>
    <row r="632" spans="1:17" ht="18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</row>
    <row r="633" spans="1:17" ht="18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</row>
    <row r="634" spans="1:17" ht="18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</row>
    <row r="635" spans="1:17" ht="18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</row>
    <row r="636" spans="1:17" ht="18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</row>
    <row r="637" spans="1:17" ht="18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</row>
    <row r="638" spans="1:17" ht="18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</row>
    <row r="639" spans="1:17" ht="18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</row>
    <row r="640" spans="1:17" ht="18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</row>
    <row r="641" spans="1:17" ht="18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</row>
    <row r="642" spans="1:17" ht="18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</row>
    <row r="643" spans="1:17" ht="18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</row>
    <row r="644" spans="1:17" ht="18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</row>
    <row r="645" spans="1:17" ht="18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</row>
    <row r="646" spans="1:17" ht="18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</row>
    <row r="647" spans="1:17" ht="18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</row>
    <row r="648" spans="1:17" ht="18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</row>
    <row r="649" spans="1:17" ht="18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</row>
    <row r="650" spans="1:17" ht="18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</row>
    <row r="651" spans="1:17" ht="18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</row>
    <row r="652" spans="1:17" ht="18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</row>
    <row r="653" spans="1:17" ht="18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</row>
    <row r="654" spans="1:17" ht="18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</row>
    <row r="655" spans="1:17" ht="18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</row>
    <row r="656" spans="1:17" ht="18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</row>
    <row r="657" spans="1:17" ht="18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</row>
    <row r="658" spans="1:17" ht="18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</row>
    <row r="659" spans="1:17" ht="18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</row>
    <row r="660" spans="1:17" ht="18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</row>
    <row r="661" spans="1:17" ht="18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</row>
    <row r="662" spans="1:17" ht="18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</row>
    <row r="663" spans="1:17" ht="18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</row>
    <row r="664" spans="1:17" ht="18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</row>
    <row r="665" spans="1:17" ht="18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</row>
    <row r="666" spans="1:17" ht="18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</row>
    <row r="667" spans="1:17" ht="18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</row>
    <row r="668" spans="1:17" ht="18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</row>
    <row r="669" spans="1:17" ht="18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</row>
    <row r="670" spans="1:17" ht="18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</row>
    <row r="671" spans="1:17" ht="18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</row>
    <row r="672" spans="1:17" ht="18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</row>
    <row r="673" spans="1:17" ht="18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</row>
    <row r="674" spans="1:17" ht="18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</row>
    <row r="675" spans="1:17" ht="18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</row>
    <row r="676" spans="1:17" ht="18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</row>
    <row r="677" spans="1:17" ht="18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</row>
    <row r="678" spans="1:17" ht="18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</row>
    <row r="679" spans="1:17" ht="18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</row>
    <row r="680" spans="1:17" ht="18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</row>
    <row r="681" spans="1:17" ht="18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</row>
    <row r="682" spans="1:17" ht="18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</row>
    <row r="683" spans="1:17" ht="18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</row>
    <row r="684" spans="1:17" ht="18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</row>
    <row r="685" spans="1:17" ht="18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</row>
    <row r="686" spans="1:17" ht="18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</row>
    <row r="687" spans="1:17" ht="18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</row>
    <row r="688" spans="1:17" ht="18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</row>
    <row r="689" spans="1:17" ht="18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</row>
    <row r="690" spans="1:17" ht="18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</row>
    <row r="691" spans="1:17" ht="18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</row>
    <row r="692" spans="1:17" ht="18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</row>
    <row r="693" spans="1:17" ht="18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</row>
    <row r="694" spans="1:17" ht="18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</row>
    <row r="695" spans="1:17" ht="18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</row>
    <row r="696" spans="1:17" ht="18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</row>
    <row r="697" spans="1:17" ht="18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</row>
    <row r="698" spans="1:17" ht="18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</row>
    <row r="699" spans="1:17" ht="18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</row>
    <row r="700" spans="1:17" ht="18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</row>
    <row r="701" spans="1:17" ht="18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</row>
    <row r="702" spans="1:17" ht="18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</row>
    <row r="703" spans="1:17" ht="18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</row>
    <row r="704" spans="1:17" ht="18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</row>
    <row r="705" spans="1:17" ht="18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</row>
    <row r="706" spans="1:17" ht="18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</row>
    <row r="707" spans="1:17" ht="18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</row>
    <row r="708" spans="1:17" ht="18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</row>
    <row r="709" spans="1:17" ht="18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</row>
    <row r="710" spans="1:17" ht="18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</row>
    <row r="711" spans="1:17" ht="18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</row>
    <row r="712" spans="1:17" ht="18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</row>
    <row r="713" spans="1:17" ht="18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</row>
    <row r="714" spans="1:17" ht="18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</row>
    <row r="715" spans="1:17" ht="18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</row>
    <row r="716" spans="1:17" ht="18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</row>
    <row r="717" spans="1:17" ht="18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</row>
    <row r="718" spans="1:17" ht="18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</row>
    <row r="719" spans="1:17" ht="18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</row>
    <row r="720" spans="1:17" ht="18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</row>
    <row r="721" spans="1:17" ht="18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</row>
    <row r="722" spans="1:17" ht="18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</row>
    <row r="723" spans="1:17" ht="18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</row>
    <row r="724" spans="1:17" ht="18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</row>
    <row r="725" spans="1:17" ht="18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</row>
    <row r="726" spans="1:17" ht="18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</row>
    <row r="727" spans="1:17" ht="18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</row>
    <row r="728" spans="1:17" ht="18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</row>
    <row r="729" spans="1:17" ht="18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</row>
    <row r="730" spans="1:17" ht="18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</row>
    <row r="731" spans="1:17" ht="18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</row>
    <row r="732" spans="1:17" ht="18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</row>
    <row r="733" spans="1:17" ht="18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</row>
    <row r="734" spans="1:17" ht="18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</row>
    <row r="735" spans="1:17" ht="18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</row>
    <row r="736" spans="1:17" ht="18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</row>
    <row r="737" spans="1:17" ht="18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</row>
    <row r="738" spans="1:17" ht="18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</row>
    <row r="739" spans="1:17" ht="18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</row>
    <row r="740" spans="1:17" ht="18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</row>
    <row r="741" spans="1:17" ht="18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</row>
    <row r="742" spans="1:17" ht="18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</row>
    <row r="743" spans="1:17" ht="18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</row>
    <row r="744" spans="1:17" ht="18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</row>
    <row r="745" spans="1:17" ht="18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</row>
    <row r="746" spans="1:17" ht="18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</row>
    <row r="747" spans="1:17" ht="18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</row>
    <row r="748" spans="1:17" ht="18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</row>
    <row r="749" spans="1:17" ht="18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</row>
    <row r="750" spans="1:17" ht="18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</row>
    <row r="751" spans="1:17" ht="18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</row>
    <row r="752" spans="1:17" ht="18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</row>
    <row r="753" spans="1:17" ht="18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</row>
    <row r="754" spans="1:17" ht="18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</row>
    <row r="755" spans="1:17" ht="18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</row>
    <row r="756" spans="1:17" ht="18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</row>
    <row r="757" spans="1:17" ht="18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</row>
    <row r="758" spans="1:17" ht="18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</row>
    <row r="759" spans="1:17" ht="18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</row>
    <row r="760" spans="1:17" ht="18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</row>
    <row r="761" spans="1:17" ht="18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</row>
    <row r="762" spans="1:17" ht="18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</row>
    <row r="763" spans="1:17" ht="18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</row>
    <row r="764" spans="1:17" ht="18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</row>
    <row r="765" spans="1:17" ht="18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</row>
    <row r="766" spans="1:17" ht="18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</row>
    <row r="767" spans="1:17" ht="18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</row>
    <row r="768" spans="1:17" ht="18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</row>
    <row r="769" spans="1:17" ht="18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</row>
    <row r="770" spans="1:17" ht="18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</row>
    <row r="771" spans="1:17" ht="18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</row>
    <row r="772" spans="1:17" ht="18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</row>
    <row r="773" spans="1:17" ht="18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</row>
    <row r="774" spans="1:17" ht="18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</row>
    <row r="775" spans="1:17" ht="18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</row>
    <row r="776" spans="1:17" ht="18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</row>
    <row r="777" spans="1:17" ht="18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</row>
    <row r="778" spans="1:17" ht="18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</row>
    <row r="779" spans="1:17" ht="18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</row>
    <row r="780" spans="1:17" ht="18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</row>
    <row r="781" spans="1:17" ht="18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</row>
    <row r="782" spans="1:17" ht="18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</row>
    <row r="783" spans="1:17" ht="18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</row>
    <row r="784" spans="1:17" ht="18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</row>
    <row r="785" spans="1:17" ht="18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</row>
    <row r="786" spans="1:17" ht="18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</row>
    <row r="787" spans="1:17" ht="18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</row>
    <row r="788" spans="1:17" ht="18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</row>
    <row r="789" spans="1:17" ht="18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</row>
    <row r="790" spans="1:17" ht="18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</row>
    <row r="791" spans="1:17" ht="18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</row>
    <row r="792" spans="1:17" ht="18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</row>
    <row r="793" spans="1:17" ht="18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</row>
    <row r="794" spans="1:17" ht="18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</row>
    <row r="795" spans="1:17" ht="18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</row>
    <row r="796" spans="1:17" ht="18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</row>
    <row r="797" spans="1:17" ht="18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</row>
    <row r="798" spans="1:17" ht="18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</row>
    <row r="799" spans="1:17" ht="18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</row>
    <row r="800" spans="1:17" ht="18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</row>
    <row r="801" spans="1:17" ht="18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</row>
    <row r="802" spans="1:17" ht="18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</row>
    <row r="803" spans="1:17" ht="18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</row>
    <row r="804" spans="1:17" ht="18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</row>
    <row r="805" spans="1:17" ht="18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</row>
    <row r="806" spans="1:17" ht="18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</row>
    <row r="807" spans="1:17" ht="18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</row>
    <row r="808" spans="1:17" ht="18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</row>
    <row r="809" spans="1:17" ht="18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</row>
    <row r="810" spans="1:17" ht="18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</row>
    <row r="811" spans="1:17" ht="18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</row>
    <row r="812" spans="1:17" ht="18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</row>
    <row r="813" spans="1:17" ht="18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</row>
    <row r="814" spans="1:17" ht="18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</row>
    <row r="815" spans="1:17" ht="18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</row>
    <row r="816" spans="1:17" ht="18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</row>
    <row r="817" spans="1:17" ht="18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</row>
    <row r="818" spans="1:17" ht="18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</row>
    <row r="819" spans="1:17" ht="18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</row>
    <row r="820" spans="1:17" ht="18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</row>
    <row r="821" spans="1:17" ht="18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</row>
    <row r="822" spans="1:17" ht="18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</row>
    <row r="823" spans="1:17" ht="18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</row>
    <row r="824" spans="1:17" ht="18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</row>
    <row r="825" spans="1:17" ht="18" x14ac:dyDescent="0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</row>
    <row r="826" spans="1:17" ht="18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</row>
    <row r="827" spans="1:17" ht="18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</row>
    <row r="828" spans="1:17" ht="18" x14ac:dyDescent="0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</row>
    <row r="829" spans="1:17" ht="18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</row>
    <row r="830" spans="1:17" ht="18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</row>
    <row r="831" spans="1:17" ht="18" x14ac:dyDescent="0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</row>
    <row r="832" spans="1:17" ht="18" x14ac:dyDescent="0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</row>
    <row r="833" spans="1:17" ht="18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</row>
    <row r="834" spans="1:17" ht="18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</row>
    <row r="835" spans="1:17" ht="18" x14ac:dyDescent="0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</row>
    <row r="836" spans="1:17" ht="18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</row>
    <row r="837" spans="1:17" ht="18" x14ac:dyDescent="0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</row>
    <row r="838" spans="1:17" ht="18" x14ac:dyDescent="0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</row>
    <row r="839" spans="1:17" ht="18" x14ac:dyDescent="0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</row>
    <row r="840" spans="1:17" ht="18" x14ac:dyDescent="0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</row>
    <row r="841" spans="1:17" ht="18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</row>
    <row r="842" spans="1:17" ht="18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</row>
    <row r="843" spans="1:17" ht="18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</row>
    <row r="844" spans="1:17" ht="18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</row>
    <row r="845" spans="1:17" ht="18" x14ac:dyDescent="0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</row>
    <row r="846" spans="1:17" ht="18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</row>
    <row r="847" spans="1:17" ht="18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</row>
    <row r="848" spans="1:17" ht="18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</row>
    <row r="849" spans="1:17" ht="18" x14ac:dyDescent="0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</row>
    <row r="850" spans="1:17" ht="18" x14ac:dyDescent="0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</row>
    <row r="851" spans="1:17" ht="18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</row>
    <row r="852" spans="1:17" ht="18" x14ac:dyDescent="0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</row>
    <row r="853" spans="1:17" ht="18" x14ac:dyDescent="0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</row>
    <row r="854" spans="1:17" ht="18" x14ac:dyDescent="0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</row>
    <row r="855" spans="1:17" ht="18" x14ac:dyDescent="0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</row>
    <row r="856" spans="1:17" ht="18" x14ac:dyDescent="0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</row>
    <row r="857" spans="1:17" ht="18" x14ac:dyDescent="0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</row>
    <row r="858" spans="1:17" ht="18" x14ac:dyDescent="0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</row>
    <row r="859" spans="1:17" ht="18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</row>
    <row r="860" spans="1:17" ht="18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</row>
    <row r="861" spans="1:17" ht="18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</row>
    <row r="862" spans="1:17" ht="18" x14ac:dyDescent="0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</row>
    <row r="863" spans="1:17" ht="18" x14ac:dyDescent="0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</row>
    <row r="864" spans="1:17" ht="18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</row>
    <row r="865" spans="1:17" ht="18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</row>
    <row r="866" spans="1:17" ht="18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</row>
    <row r="867" spans="1:17" ht="18" x14ac:dyDescent="0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</row>
    <row r="868" spans="1:17" ht="18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</row>
    <row r="869" spans="1:17" ht="18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</row>
    <row r="870" spans="1:17" ht="18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</row>
    <row r="871" spans="1:17" ht="18" x14ac:dyDescent="0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</row>
    <row r="872" spans="1:17" ht="18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</row>
    <row r="873" spans="1:17" ht="18" x14ac:dyDescent="0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</row>
    <row r="874" spans="1:17" ht="18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</row>
    <row r="875" spans="1:17" ht="18" x14ac:dyDescent="0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</row>
    <row r="876" spans="1:17" ht="18" x14ac:dyDescent="0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</row>
    <row r="877" spans="1:17" ht="18" x14ac:dyDescent="0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</row>
    <row r="878" spans="1:17" ht="18" x14ac:dyDescent="0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</row>
    <row r="879" spans="1:17" ht="18" x14ac:dyDescent="0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</row>
    <row r="880" spans="1:17" ht="18" x14ac:dyDescent="0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</row>
    <row r="881" spans="1:17" ht="18" x14ac:dyDescent="0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</row>
    <row r="882" spans="1:17" ht="18" x14ac:dyDescent="0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</row>
    <row r="883" spans="1:17" ht="18" x14ac:dyDescent="0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</row>
    <row r="884" spans="1:17" ht="18" x14ac:dyDescent="0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</row>
    <row r="885" spans="1:17" ht="18" x14ac:dyDescent="0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</row>
    <row r="886" spans="1:17" ht="18" x14ac:dyDescent="0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</row>
    <row r="887" spans="1:17" ht="18" x14ac:dyDescent="0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</row>
    <row r="888" spans="1:17" ht="18" x14ac:dyDescent="0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</row>
    <row r="889" spans="1:17" ht="18" x14ac:dyDescent="0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</row>
    <row r="890" spans="1:17" ht="18" x14ac:dyDescent="0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</row>
    <row r="891" spans="1:17" ht="18" x14ac:dyDescent="0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</row>
    <row r="892" spans="1:17" ht="18" x14ac:dyDescent="0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</row>
    <row r="893" spans="1:17" ht="18" x14ac:dyDescent="0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</row>
    <row r="894" spans="1:17" ht="18" x14ac:dyDescent="0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</row>
    <row r="895" spans="1:17" ht="18" x14ac:dyDescent="0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</row>
    <row r="896" spans="1:17" ht="18" x14ac:dyDescent="0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</row>
    <row r="897" spans="1:17" ht="18" x14ac:dyDescent="0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</row>
    <row r="898" spans="1:17" ht="18" x14ac:dyDescent="0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</row>
    <row r="899" spans="1:17" ht="18" x14ac:dyDescent="0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</row>
    <row r="900" spans="1:17" ht="18" x14ac:dyDescent="0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</row>
    <row r="901" spans="1:17" ht="18" x14ac:dyDescent="0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</row>
    <row r="902" spans="1:17" ht="18" x14ac:dyDescent="0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</row>
    <row r="903" spans="1:17" ht="18" x14ac:dyDescent="0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</row>
    <row r="904" spans="1:17" ht="18" x14ac:dyDescent="0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</row>
    <row r="905" spans="1:17" ht="18" x14ac:dyDescent="0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</row>
    <row r="906" spans="1:17" ht="18" x14ac:dyDescent="0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</row>
    <row r="907" spans="1:17" ht="18" x14ac:dyDescent="0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</row>
    <row r="908" spans="1:17" ht="18" x14ac:dyDescent="0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</row>
    <row r="909" spans="1:17" ht="18" x14ac:dyDescent="0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</row>
    <row r="910" spans="1:17" ht="18" x14ac:dyDescent="0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</row>
    <row r="911" spans="1:17" ht="18" x14ac:dyDescent="0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</row>
    <row r="912" spans="1:17" ht="18" x14ac:dyDescent="0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</row>
    <row r="913" spans="1:17" ht="18" x14ac:dyDescent="0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</row>
    <row r="914" spans="1:17" ht="18" x14ac:dyDescent="0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</row>
    <row r="915" spans="1:17" ht="18" x14ac:dyDescent="0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</row>
    <row r="916" spans="1:17" ht="18" x14ac:dyDescent="0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</row>
    <row r="917" spans="1:17" ht="18" x14ac:dyDescent="0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</row>
    <row r="918" spans="1:17" ht="18" x14ac:dyDescent="0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</row>
    <row r="919" spans="1:17" ht="18" x14ac:dyDescent="0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</row>
    <row r="920" spans="1:17" ht="18" x14ac:dyDescent="0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</row>
    <row r="921" spans="1:17" ht="18" x14ac:dyDescent="0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</row>
    <row r="922" spans="1:17" ht="18" x14ac:dyDescent="0.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</row>
    <row r="923" spans="1:17" ht="18" x14ac:dyDescent="0.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</row>
    <row r="924" spans="1:17" ht="18" x14ac:dyDescent="0.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</row>
    <row r="925" spans="1:17" ht="18" x14ac:dyDescent="0.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</row>
    <row r="926" spans="1:17" ht="18" x14ac:dyDescent="0.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</row>
    <row r="927" spans="1:17" ht="18" x14ac:dyDescent="0.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</row>
    <row r="928" spans="1:17" ht="18" x14ac:dyDescent="0.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</row>
    <row r="929" spans="1:17" ht="18" x14ac:dyDescent="0.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</row>
    <row r="930" spans="1:17" ht="18" x14ac:dyDescent="0.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</row>
    <row r="931" spans="1:17" ht="18" x14ac:dyDescent="0.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</row>
    <row r="932" spans="1:17" ht="18" x14ac:dyDescent="0.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</row>
    <row r="933" spans="1:17" ht="18" x14ac:dyDescent="0.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</row>
    <row r="934" spans="1:17" ht="18" x14ac:dyDescent="0.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</row>
    <row r="935" spans="1:17" ht="18" x14ac:dyDescent="0.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</row>
    <row r="936" spans="1:17" ht="18" x14ac:dyDescent="0.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</row>
    <row r="937" spans="1:17" ht="18" x14ac:dyDescent="0.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</row>
    <row r="938" spans="1:17" ht="18" x14ac:dyDescent="0.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</row>
    <row r="939" spans="1:17" ht="18" x14ac:dyDescent="0.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</row>
    <row r="940" spans="1:17" ht="18" x14ac:dyDescent="0.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</row>
    <row r="941" spans="1:17" ht="18" x14ac:dyDescent="0.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</row>
    <row r="942" spans="1:17" ht="18" x14ac:dyDescent="0.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</row>
    <row r="943" spans="1:17" ht="18" x14ac:dyDescent="0.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</row>
    <row r="944" spans="1:17" ht="18" x14ac:dyDescent="0.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</row>
    <row r="945" spans="1:17" ht="18" x14ac:dyDescent="0.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</row>
    <row r="946" spans="1:17" ht="18" x14ac:dyDescent="0.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</row>
    <row r="947" spans="1:17" ht="18" x14ac:dyDescent="0.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</row>
    <row r="948" spans="1:17" ht="18" x14ac:dyDescent="0.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</row>
    <row r="949" spans="1:17" ht="18" x14ac:dyDescent="0.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</row>
    <row r="950" spans="1:17" ht="18" x14ac:dyDescent="0.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</row>
    <row r="951" spans="1:17" ht="18" x14ac:dyDescent="0.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</row>
    <row r="952" spans="1:17" ht="18" x14ac:dyDescent="0.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</row>
    <row r="953" spans="1:17" ht="18" x14ac:dyDescent="0.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</row>
    <row r="954" spans="1:17" ht="18" x14ac:dyDescent="0.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</row>
    <row r="955" spans="1:17" ht="18" x14ac:dyDescent="0.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</row>
    <row r="956" spans="1:17" ht="18" x14ac:dyDescent="0.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</row>
    <row r="957" spans="1:17" ht="18" x14ac:dyDescent="0.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</row>
    <row r="958" spans="1:17" ht="18" x14ac:dyDescent="0.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</row>
    <row r="959" spans="1:17" ht="18" x14ac:dyDescent="0.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</row>
    <row r="960" spans="1:17" ht="18" x14ac:dyDescent="0.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</row>
    <row r="961" spans="1:17" ht="18" x14ac:dyDescent="0.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</row>
    <row r="962" spans="1:17" ht="18" x14ac:dyDescent="0.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</row>
    <row r="963" spans="1:17" ht="18" x14ac:dyDescent="0.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</row>
    <row r="964" spans="1:17" ht="18" x14ac:dyDescent="0.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</row>
    <row r="965" spans="1:17" ht="18" x14ac:dyDescent="0.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</row>
    <row r="966" spans="1:17" ht="18" x14ac:dyDescent="0.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</row>
    <row r="967" spans="1:17" ht="18" x14ac:dyDescent="0.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</row>
    <row r="968" spans="1:17" ht="18" x14ac:dyDescent="0.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</row>
    <row r="969" spans="1:17" ht="18" x14ac:dyDescent="0.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</row>
    <row r="970" spans="1:17" ht="18" x14ac:dyDescent="0.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</row>
    <row r="971" spans="1:17" ht="18" x14ac:dyDescent="0.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</row>
    <row r="972" spans="1:17" ht="18" x14ac:dyDescent="0.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</row>
    <row r="973" spans="1:17" ht="18" x14ac:dyDescent="0.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</row>
    <row r="974" spans="1:17" ht="18" x14ac:dyDescent="0.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</row>
    <row r="975" spans="1:17" ht="18" x14ac:dyDescent="0.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</row>
    <row r="976" spans="1:17" ht="18" x14ac:dyDescent="0.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</row>
    <row r="977" spans="1:17" ht="18" x14ac:dyDescent="0.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</row>
    <row r="978" spans="1:17" ht="18" x14ac:dyDescent="0.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</row>
    <row r="979" spans="1:17" ht="18" x14ac:dyDescent="0.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</row>
    <row r="980" spans="1:17" ht="18" x14ac:dyDescent="0.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</row>
    <row r="981" spans="1:17" ht="18" x14ac:dyDescent="0.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</row>
    <row r="982" spans="1:17" ht="18" x14ac:dyDescent="0.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</row>
    <row r="983" spans="1:17" ht="18" x14ac:dyDescent="0.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</row>
    <row r="984" spans="1:17" ht="18" x14ac:dyDescent="0.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</row>
    <row r="985" spans="1:17" ht="18" x14ac:dyDescent="0.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</row>
    <row r="986" spans="1:17" ht="18" x14ac:dyDescent="0.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</row>
    <row r="987" spans="1:17" ht="18" x14ac:dyDescent="0.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</row>
    <row r="988" spans="1:17" ht="18" x14ac:dyDescent="0.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</row>
    <row r="989" spans="1:17" ht="18" x14ac:dyDescent="0.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</row>
    <row r="990" spans="1:17" ht="18" x14ac:dyDescent="0.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</row>
    <row r="991" spans="1:17" ht="18" x14ac:dyDescent="0.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</row>
    <row r="992" spans="1:17" ht="18" x14ac:dyDescent="0.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</row>
    <row r="993" spans="1:17" ht="18" x14ac:dyDescent="0.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</row>
    <row r="994" spans="1:17" ht="18" x14ac:dyDescent="0.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</row>
    <row r="995" spans="1:17" ht="18" x14ac:dyDescent="0.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</row>
    <row r="996" spans="1:17" ht="18" x14ac:dyDescent="0.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</row>
    <row r="997" spans="1:17" ht="18" x14ac:dyDescent="0.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</row>
    <row r="998" spans="1:17" ht="18" x14ac:dyDescent="0.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</row>
    <row r="999" spans="1:17" ht="18" x14ac:dyDescent="0.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</row>
    <row r="1000" spans="1:17" ht="18" x14ac:dyDescent="0.4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</row>
    <row r="1001" spans="1:17" ht="18" x14ac:dyDescent="0.4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</row>
    <row r="1002" spans="1:17" ht="18" x14ac:dyDescent="0.4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</row>
    <row r="1003" spans="1:17" ht="18" x14ac:dyDescent="0.4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</row>
    <row r="1004" spans="1:17" ht="18" x14ac:dyDescent="0.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</row>
    <row r="1005" spans="1:17" ht="18" x14ac:dyDescent="0.4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</row>
    <row r="1006" spans="1:17" ht="18" x14ac:dyDescent="0.4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</row>
    <row r="1007" spans="1:17" ht="18" x14ac:dyDescent="0.4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</row>
    <row r="1008" spans="1:17" ht="18" x14ac:dyDescent="0.4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</row>
    <row r="1009" spans="1:17" ht="18" x14ac:dyDescent="0.4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</row>
    <row r="1010" spans="1:17" ht="18" x14ac:dyDescent="0.4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</row>
    <row r="1011" spans="1:17" ht="18" x14ac:dyDescent="0.4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</row>
    <row r="1012" spans="1:17" ht="18" x14ac:dyDescent="0.4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</row>
    <row r="1013" spans="1:17" ht="18" x14ac:dyDescent="0.4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</row>
    <row r="1014" spans="1:17" ht="18" x14ac:dyDescent="0.4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</row>
    <row r="1015" spans="1:17" ht="18" x14ac:dyDescent="0.4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</row>
    <row r="1016" spans="1:17" ht="18" x14ac:dyDescent="0.4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</row>
    <row r="1017" spans="1:17" ht="18" x14ac:dyDescent="0.4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</row>
    <row r="1018" spans="1:17" ht="18" x14ac:dyDescent="0.4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</row>
    <row r="1019" spans="1:17" ht="18" x14ac:dyDescent="0.4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</row>
    <row r="1020" spans="1:17" ht="18" x14ac:dyDescent="0.4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</row>
    <row r="1021" spans="1:17" ht="18" x14ac:dyDescent="0.4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</row>
    <row r="1022" spans="1:17" ht="18" x14ac:dyDescent="0.4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</row>
    <row r="1023" spans="1:17" ht="18" x14ac:dyDescent="0.4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</row>
    <row r="1024" spans="1:17" ht="18" x14ac:dyDescent="0.4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</row>
    <row r="1025" spans="1:17" ht="18" x14ac:dyDescent="0.4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</row>
    <row r="1026" spans="1:17" ht="18" x14ac:dyDescent="0.4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</row>
    <row r="1027" spans="1:17" ht="18" x14ac:dyDescent="0.4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</row>
    <row r="1028" spans="1:17" ht="18" x14ac:dyDescent="0.4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</row>
    <row r="1029" spans="1:17" ht="18" x14ac:dyDescent="0.4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</row>
    <row r="1030" spans="1:17" ht="18" x14ac:dyDescent="0.4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</row>
    <row r="1031" spans="1:17" ht="18" x14ac:dyDescent="0.4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</row>
    <row r="1032" spans="1:17" ht="18" x14ac:dyDescent="0.4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</row>
    <row r="1033" spans="1:17" ht="18" x14ac:dyDescent="0.4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</row>
    <row r="1034" spans="1:17" ht="18" x14ac:dyDescent="0.4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</row>
    <row r="1035" spans="1:17" ht="18" x14ac:dyDescent="0.4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</row>
    <row r="1036" spans="1:17" ht="18" x14ac:dyDescent="0.4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</row>
    <row r="1037" spans="1:17" ht="18" x14ac:dyDescent="0.4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</row>
    <row r="1038" spans="1:17" ht="18" x14ac:dyDescent="0.4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</row>
    <row r="1039" spans="1:17" ht="18" x14ac:dyDescent="0.4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</row>
    <row r="1040" spans="1:17" ht="18" x14ac:dyDescent="0.4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</row>
    <row r="1041" spans="1:17" ht="18" x14ac:dyDescent="0.4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</row>
    <row r="1042" spans="1:17" ht="18" x14ac:dyDescent="0.4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</row>
    <row r="1043" spans="1:17" ht="18" x14ac:dyDescent="0.4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</row>
    <row r="1044" spans="1:17" ht="18" x14ac:dyDescent="0.4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</row>
    <row r="1045" spans="1:17" ht="18" x14ac:dyDescent="0.4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</row>
    <row r="1046" spans="1:17" ht="18" x14ac:dyDescent="0.4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</row>
    <row r="1047" spans="1:17" ht="18" x14ac:dyDescent="0.4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</row>
    <row r="1048" spans="1:17" ht="18" x14ac:dyDescent="0.4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</row>
    <row r="1049" spans="1:17" ht="18" x14ac:dyDescent="0.4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</row>
    <row r="1050" spans="1:17" ht="18" x14ac:dyDescent="0.4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</row>
    <row r="1051" spans="1:17" ht="18" x14ac:dyDescent="0.4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</row>
    <row r="1052" spans="1:17" ht="18" x14ac:dyDescent="0.4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</row>
    <row r="1053" spans="1:17" ht="18" x14ac:dyDescent="0.4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</row>
    <row r="1054" spans="1:17" ht="18" x14ac:dyDescent="0.4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</row>
    <row r="1055" spans="1:17" ht="18" x14ac:dyDescent="0.4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</row>
    <row r="1056" spans="1:17" ht="18" x14ac:dyDescent="0.4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</row>
    <row r="1057" spans="1:17" ht="18" x14ac:dyDescent="0.4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</row>
    <row r="1058" spans="1:17" ht="18" x14ac:dyDescent="0.4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</row>
    <row r="1059" spans="1:17" ht="18" x14ac:dyDescent="0.4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</row>
    <row r="1060" spans="1:17" ht="18" x14ac:dyDescent="0.4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</row>
    <row r="1061" spans="1:17" ht="18" x14ac:dyDescent="0.4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</row>
    <row r="1062" spans="1:17" ht="18" x14ac:dyDescent="0.4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</row>
    <row r="1063" spans="1:17" ht="18" x14ac:dyDescent="0.4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</row>
    <row r="1064" spans="1:17" ht="18" x14ac:dyDescent="0.4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</row>
    <row r="1065" spans="1:17" ht="18" x14ac:dyDescent="0.4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</row>
    <row r="1066" spans="1:17" ht="18" x14ac:dyDescent="0.4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</row>
    <row r="1067" spans="1:17" ht="18" x14ac:dyDescent="0.4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</row>
    <row r="1068" spans="1:17" ht="18" x14ac:dyDescent="0.4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</row>
    <row r="1069" spans="1:17" ht="18" x14ac:dyDescent="0.4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</row>
    <row r="1070" spans="1:17" ht="18" x14ac:dyDescent="0.4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</row>
    <row r="1071" spans="1:17" ht="18" x14ac:dyDescent="0.4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</row>
    <row r="1072" spans="1:17" ht="18" x14ac:dyDescent="0.4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</row>
    <row r="1073" spans="1:17" ht="18" x14ac:dyDescent="0.4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</row>
    <row r="1074" spans="1:17" ht="18" x14ac:dyDescent="0.4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</row>
    <row r="1075" spans="1:17" ht="18" x14ac:dyDescent="0.4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</row>
    <row r="1076" spans="1:17" ht="18" x14ac:dyDescent="0.4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</row>
    <row r="1077" spans="1:17" ht="18" x14ac:dyDescent="0.4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</row>
    <row r="1078" spans="1:17" ht="18" x14ac:dyDescent="0.4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</row>
    <row r="1079" spans="1:17" ht="18" x14ac:dyDescent="0.4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</row>
    <row r="1080" spans="1:17" ht="18" x14ac:dyDescent="0.4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</row>
    <row r="1081" spans="1:17" ht="18" x14ac:dyDescent="0.4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</row>
    <row r="1082" spans="1:17" ht="18" x14ac:dyDescent="0.4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</row>
    <row r="1083" spans="1:17" ht="18" x14ac:dyDescent="0.4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</row>
    <row r="1084" spans="1:17" ht="18" x14ac:dyDescent="0.4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</row>
    <row r="1085" spans="1:17" ht="18" x14ac:dyDescent="0.4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</row>
    <row r="1086" spans="1:17" ht="18" x14ac:dyDescent="0.4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</row>
    <row r="1087" spans="1:17" ht="18" x14ac:dyDescent="0.4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</row>
    <row r="1088" spans="1:17" ht="18" x14ac:dyDescent="0.4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</row>
    <row r="1089" spans="1:17" ht="18" x14ac:dyDescent="0.4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</row>
    <row r="1090" spans="1:17" ht="18" x14ac:dyDescent="0.4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</row>
    <row r="1091" spans="1:17" ht="18" x14ac:dyDescent="0.4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</row>
    <row r="1092" spans="1:17" ht="18" x14ac:dyDescent="0.4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</row>
    <row r="1093" spans="1:17" ht="18" x14ac:dyDescent="0.4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</row>
    <row r="1094" spans="1:17" ht="18" x14ac:dyDescent="0.4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</row>
    <row r="1095" spans="1:17" ht="18" x14ac:dyDescent="0.4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</row>
    <row r="1096" spans="1:17" ht="18" x14ac:dyDescent="0.4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</row>
    <row r="1097" spans="1:17" ht="18" x14ac:dyDescent="0.4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</row>
    <row r="1098" spans="1:17" ht="18" x14ac:dyDescent="0.4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</row>
    <row r="1099" spans="1:17" ht="18" x14ac:dyDescent="0.4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</row>
    <row r="1100" spans="1:17" ht="18" x14ac:dyDescent="0.4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</row>
    <row r="1101" spans="1:17" ht="18" x14ac:dyDescent="0.4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</row>
    <row r="1102" spans="1:17" ht="18" x14ac:dyDescent="0.4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</row>
    <row r="1103" spans="1:17" ht="18" x14ac:dyDescent="0.4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</row>
    <row r="1104" spans="1:17" ht="18" x14ac:dyDescent="0.4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</row>
    <row r="1105" spans="1:17" ht="18" x14ac:dyDescent="0.4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</row>
    <row r="1106" spans="1:17" ht="18" x14ac:dyDescent="0.4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</row>
    <row r="1107" spans="1:17" ht="18" x14ac:dyDescent="0.4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</row>
    <row r="1108" spans="1:17" ht="18" x14ac:dyDescent="0.4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</row>
    <row r="1109" spans="1:17" ht="18" x14ac:dyDescent="0.4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</row>
    <row r="1110" spans="1:17" ht="18" x14ac:dyDescent="0.4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</row>
    <row r="1111" spans="1:17" ht="18" x14ac:dyDescent="0.4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</row>
    <row r="1112" spans="1:17" ht="18" x14ac:dyDescent="0.4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</row>
    <row r="1113" spans="1:17" ht="18" x14ac:dyDescent="0.4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</row>
    <row r="1114" spans="1:17" ht="18" x14ac:dyDescent="0.4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</row>
    <row r="1115" spans="1:17" ht="18" x14ac:dyDescent="0.4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</row>
    <row r="1116" spans="1:17" ht="18" x14ac:dyDescent="0.4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</row>
    <row r="1117" spans="1:17" ht="18" x14ac:dyDescent="0.4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</row>
    <row r="1118" spans="1:17" ht="18" x14ac:dyDescent="0.4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</row>
    <row r="1119" spans="1:17" ht="18" x14ac:dyDescent="0.4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</row>
    <row r="1120" spans="1:17" ht="18" x14ac:dyDescent="0.4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</row>
    <row r="1121" spans="1:17" ht="18" x14ac:dyDescent="0.4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</row>
    <row r="1122" spans="1:17" ht="18" x14ac:dyDescent="0.4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</row>
    <row r="1123" spans="1:17" ht="18" x14ac:dyDescent="0.4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</row>
    <row r="1124" spans="1:17" ht="18" x14ac:dyDescent="0.4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</row>
    <row r="1125" spans="1:17" ht="18" x14ac:dyDescent="0.4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</row>
    <row r="1126" spans="1:17" ht="18" x14ac:dyDescent="0.4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</row>
    <row r="1127" spans="1:17" ht="18" x14ac:dyDescent="0.4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</row>
    <row r="1128" spans="1:17" ht="18" x14ac:dyDescent="0.4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</row>
    <row r="1129" spans="1:17" ht="18" x14ac:dyDescent="0.4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</row>
    <row r="1130" spans="1:17" ht="18" x14ac:dyDescent="0.4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</row>
    <row r="1131" spans="1:17" ht="18" x14ac:dyDescent="0.4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</row>
    <row r="1132" spans="1:17" ht="18" x14ac:dyDescent="0.4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</row>
    <row r="1133" spans="1:17" ht="18" x14ac:dyDescent="0.4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</row>
    <row r="1134" spans="1:17" ht="18" x14ac:dyDescent="0.4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</row>
    <row r="1135" spans="1:17" ht="18" x14ac:dyDescent="0.4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</row>
    <row r="1136" spans="1:17" ht="18" x14ac:dyDescent="0.4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</row>
    <row r="1137" spans="1:17" ht="18" x14ac:dyDescent="0.4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</row>
    <row r="1138" spans="1:17" ht="18" x14ac:dyDescent="0.4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</row>
    <row r="1139" spans="1:17" ht="18" x14ac:dyDescent="0.4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</row>
    <row r="1140" spans="1:17" ht="18" x14ac:dyDescent="0.4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</row>
    <row r="1141" spans="1:17" ht="18" x14ac:dyDescent="0.4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</row>
    <row r="1142" spans="1:17" ht="18" x14ac:dyDescent="0.4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</row>
    <row r="1143" spans="1:17" ht="18" x14ac:dyDescent="0.4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</row>
    <row r="1144" spans="1:17" ht="18" x14ac:dyDescent="0.4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</row>
    <row r="1145" spans="1:17" ht="18" x14ac:dyDescent="0.4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</row>
    <row r="1146" spans="1:17" ht="18" x14ac:dyDescent="0.4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</row>
    <row r="1147" spans="1:17" ht="18" x14ac:dyDescent="0.4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</row>
    <row r="1148" spans="1:17" ht="18" x14ac:dyDescent="0.4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</row>
    <row r="1149" spans="1:17" ht="18" x14ac:dyDescent="0.4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</row>
    <row r="1150" spans="1:17" ht="18" x14ac:dyDescent="0.4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</row>
    <row r="1151" spans="1:17" ht="18" x14ac:dyDescent="0.4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</row>
    <row r="1152" spans="1:17" ht="18" x14ac:dyDescent="0.4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</row>
    <row r="1153" spans="1:17" ht="18" x14ac:dyDescent="0.4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</row>
    <row r="1154" spans="1:17" ht="18" x14ac:dyDescent="0.4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</row>
    <row r="1155" spans="1:17" ht="18" x14ac:dyDescent="0.4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</row>
    <row r="1156" spans="1:17" ht="18" x14ac:dyDescent="0.4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</row>
    <row r="1157" spans="1:17" ht="18" x14ac:dyDescent="0.4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</row>
    <row r="1158" spans="1:17" ht="18" x14ac:dyDescent="0.4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</row>
    <row r="1159" spans="1:17" ht="18" x14ac:dyDescent="0.4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</row>
    <row r="1160" spans="1:17" ht="18" x14ac:dyDescent="0.4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</row>
    <row r="1161" spans="1:17" ht="18" x14ac:dyDescent="0.4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</row>
    <row r="1162" spans="1:17" ht="18" x14ac:dyDescent="0.4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</row>
    <row r="1163" spans="1:17" ht="18" x14ac:dyDescent="0.4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</row>
    <row r="1164" spans="1:17" ht="18" x14ac:dyDescent="0.4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</row>
    <row r="1165" spans="1:17" ht="18" x14ac:dyDescent="0.4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</row>
    <row r="1166" spans="1:17" ht="18" x14ac:dyDescent="0.4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</row>
    <row r="1167" spans="1:17" ht="18" x14ac:dyDescent="0.4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</row>
    <row r="1168" spans="1:17" ht="18" x14ac:dyDescent="0.4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</row>
    <row r="1169" spans="1:17" ht="18" x14ac:dyDescent="0.4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</row>
    <row r="1170" spans="1:17" ht="18" x14ac:dyDescent="0.4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</row>
    <row r="1171" spans="1:17" ht="18" x14ac:dyDescent="0.4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</row>
    <row r="1172" spans="1:17" ht="18" x14ac:dyDescent="0.4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</row>
    <row r="1173" spans="1:17" ht="18" x14ac:dyDescent="0.4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</row>
    <row r="1174" spans="1:17" ht="18" x14ac:dyDescent="0.4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</row>
    <row r="1175" spans="1:17" ht="18" x14ac:dyDescent="0.4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</row>
    <row r="1176" spans="1:17" ht="18" x14ac:dyDescent="0.4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</row>
    <row r="1177" spans="1:17" ht="18" x14ac:dyDescent="0.4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</row>
    <row r="1178" spans="1:17" ht="18" x14ac:dyDescent="0.4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</row>
    <row r="1179" spans="1:17" ht="18" x14ac:dyDescent="0.4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</row>
    <row r="1180" spans="1:17" ht="18" x14ac:dyDescent="0.4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</row>
    <row r="1181" spans="1:17" ht="18" x14ac:dyDescent="0.4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</row>
    <row r="1182" spans="1:17" ht="18" x14ac:dyDescent="0.4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</row>
    <row r="1183" spans="1:17" ht="18" x14ac:dyDescent="0.4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</row>
    <row r="1184" spans="1:17" ht="18" x14ac:dyDescent="0.4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</row>
    <row r="1185" spans="1:17" ht="18" x14ac:dyDescent="0.4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</row>
    <row r="1186" spans="1:17" ht="18" x14ac:dyDescent="0.4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</row>
    <row r="1187" spans="1:17" ht="18" x14ac:dyDescent="0.4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</row>
    <row r="1188" spans="1:17" ht="18" x14ac:dyDescent="0.4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</row>
    <row r="1189" spans="1:17" ht="18" x14ac:dyDescent="0.4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</row>
    <row r="1190" spans="1:17" ht="18" x14ac:dyDescent="0.4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</row>
    <row r="1191" spans="1:17" ht="18" x14ac:dyDescent="0.4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</row>
    <row r="1192" spans="1:17" ht="18" x14ac:dyDescent="0.4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</row>
    <row r="1193" spans="1:17" ht="18" x14ac:dyDescent="0.4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</row>
    <row r="1194" spans="1:17" ht="18" x14ac:dyDescent="0.4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</row>
    <row r="1195" spans="1:17" ht="18" x14ac:dyDescent="0.4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</row>
    <row r="1196" spans="1:17" ht="18" x14ac:dyDescent="0.4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</row>
    <row r="1197" spans="1:17" ht="18" x14ac:dyDescent="0.4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</row>
    <row r="1198" spans="1:17" ht="18" x14ac:dyDescent="0.4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</row>
    <row r="1199" spans="1:17" ht="18" x14ac:dyDescent="0.4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</row>
    <row r="1200" spans="1:17" ht="18" x14ac:dyDescent="0.4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</row>
    <row r="1201" spans="1:17" ht="18" x14ac:dyDescent="0.4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</row>
    <row r="1202" spans="1:17" ht="18" x14ac:dyDescent="0.4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</row>
    <row r="1203" spans="1:17" ht="18" x14ac:dyDescent="0.4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</row>
    <row r="1204" spans="1:17" ht="18" x14ac:dyDescent="0.4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</row>
    <row r="1205" spans="1:17" ht="18" x14ac:dyDescent="0.4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</row>
    <row r="1206" spans="1:17" ht="18" x14ac:dyDescent="0.4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</row>
    <row r="1207" spans="1:17" ht="18" x14ac:dyDescent="0.4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</row>
    <row r="1208" spans="1:17" ht="18" x14ac:dyDescent="0.4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</row>
    <row r="1209" spans="1:17" ht="18" x14ac:dyDescent="0.4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</row>
    <row r="1210" spans="1:17" ht="18" x14ac:dyDescent="0.4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</row>
    <row r="1211" spans="1:17" ht="18" x14ac:dyDescent="0.4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</row>
    <row r="1212" spans="1:17" ht="18" x14ac:dyDescent="0.4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</row>
    <row r="1213" spans="1:17" ht="18" x14ac:dyDescent="0.4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</row>
    <row r="1214" spans="1:17" ht="18" x14ac:dyDescent="0.4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</row>
    <row r="1215" spans="1:17" ht="18" x14ac:dyDescent="0.4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</row>
    <row r="1216" spans="1:17" ht="18" x14ac:dyDescent="0.4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</row>
    <row r="1217" spans="1:17" ht="18" x14ac:dyDescent="0.4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</row>
    <row r="1218" spans="1:17" ht="18" x14ac:dyDescent="0.4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</row>
    <row r="1219" spans="1:17" ht="18" x14ac:dyDescent="0.4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</row>
    <row r="1220" spans="1:17" ht="18" x14ac:dyDescent="0.4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</row>
    <row r="1221" spans="1:17" ht="18" x14ac:dyDescent="0.4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</row>
    <row r="1222" spans="1:17" ht="18" x14ac:dyDescent="0.4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</row>
    <row r="1223" spans="1:17" ht="18" x14ac:dyDescent="0.4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</row>
    <row r="1224" spans="1:17" ht="18" x14ac:dyDescent="0.4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</row>
    <row r="1225" spans="1:17" ht="18" x14ac:dyDescent="0.4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</row>
    <row r="1226" spans="1:17" ht="18" x14ac:dyDescent="0.4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</row>
    <row r="1227" spans="1:17" ht="18" x14ac:dyDescent="0.4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</row>
    <row r="1228" spans="1:17" ht="18" x14ac:dyDescent="0.4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</row>
    <row r="1229" spans="1:17" ht="18" x14ac:dyDescent="0.4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</row>
    <row r="1230" spans="1:17" ht="18" x14ac:dyDescent="0.4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</row>
    <row r="1231" spans="1:17" ht="18" x14ac:dyDescent="0.4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</row>
    <row r="1232" spans="1:17" ht="18" x14ac:dyDescent="0.4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</row>
    <row r="1233" spans="1:17" ht="18" x14ac:dyDescent="0.4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</row>
    <row r="1234" spans="1:17" ht="18" x14ac:dyDescent="0.4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</row>
    <row r="1235" spans="1:17" ht="18" x14ac:dyDescent="0.4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</row>
    <row r="1236" spans="1:17" ht="18" x14ac:dyDescent="0.4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</row>
    <row r="1237" spans="1:17" ht="18" x14ac:dyDescent="0.4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</row>
    <row r="1238" spans="1:17" ht="18" x14ac:dyDescent="0.4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</row>
    <row r="1239" spans="1:17" ht="18" x14ac:dyDescent="0.4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</row>
    <row r="1240" spans="1:17" ht="18" x14ac:dyDescent="0.4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</row>
    <row r="1241" spans="1:17" ht="18" x14ac:dyDescent="0.4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</row>
    <row r="1242" spans="1:17" ht="18" x14ac:dyDescent="0.4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</row>
    <row r="1243" spans="1:17" ht="18" x14ac:dyDescent="0.4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</row>
    <row r="1244" spans="1:17" ht="18" x14ac:dyDescent="0.4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</row>
    <row r="1245" spans="1:17" ht="18" x14ac:dyDescent="0.4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</row>
    <row r="1246" spans="1:17" ht="18" x14ac:dyDescent="0.4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</row>
    <row r="1247" spans="1:17" ht="18" x14ac:dyDescent="0.4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</row>
    <row r="1248" spans="1:17" ht="18" x14ac:dyDescent="0.4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</row>
    <row r="1249" spans="1:17" ht="18" x14ac:dyDescent="0.4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</row>
    <row r="1250" spans="1:17" ht="18" x14ac:dyDescent="0.4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</row>
    <row r="1251" spans="1:17" ht="18" x14ac:dyDescent="0.4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</row>
    <row r="1252" spans="1:17" ht="18" x14ac:dyDescent="0.4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</row>
    <row r="1253" spans="1:17" ht="18" x14ac:dyDescent="0.4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</row>
    <row r="1254" spans="1:17" ht="18" x14ac:dyDescent="0.4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</row>
    <row r="1255" spans="1:17" ht="18" x14ac:dyDescent="0.4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</row>
    <row r="1256" spans="1:17" ht="18" x14ac:dyDescent="0.4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</row>
    <row r="1257" spans="1:17" ht="18" x14ac:dyDescent="0.4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</row>
    <row r="1258" spans="1:17" ht="18" x14ac:dyDescent="0.4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</row>
    <row r="1259" spans="1:17" ht="18" x14ac:dyDescent="0.4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</row>
    <row r="1260" spans="1:17" ht="18" x14ac:dyDescent="0.4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</row>
    <row r="1261" spans="1:17" ht="18" x14ac:dyDescent="0.4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</row>
    <row r="1262" spans="1:17" ht="18" x14ac:dyDescent="0.4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</row>
    <row r="1263" spans="1:17" ht="18" x14ac:dyDescent="0.4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</row>
    <row r="1264" spans="1:17" ht="18" x14ac:dyDescent="0.4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</row>
    <row r="1265" spans="1:17" ht="18" x14ac:dyDescent="0.4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</row>
    <row r="1266" spans="1:17" ht="18" x14ac:dyDescent="0.4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</row>
    <row r="1267" spans="1:17" ht="18" x14ac:dyDescent="0.4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</row>
    <row r="1268" spans="1:17" ht="18" x14ac:dyDescent="0.4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</row>
    <row r="1269" spans="1:17" ht="18" x14ac:dyDescent="0.4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</row>
    <row r="1270" spans="1:17" ht="18" x14ac:dyDescent="0.4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</row>
    <row r="1271" spans="1:17" ht="18" x14ac:dyDescent="0.4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</row>
    <row r="1272" spans="1:17" ht="18" x14ac:dyDescent="0.4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</row>
    <row r="1273" spans="1:17" ht="18" x14ac:dyDescent="0.4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</row>
    <row r="1274" spans="1:17" ht="18" x14ac:dyDescent="0.4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</row>
    <row r="1275" spans="1:17" ht="18" x14ac:dyDescent="0.4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</row>
    <row r="1276" spans="1:17" ht="18" x14ac:dyDescent="0.4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</row>
    <row r="1277" spans="1:17" ht="18" x14ac:dyDescent="0.4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</row>
    <row r="1278" spans="1:17" ht="18" x14ac:dyDescent="0.4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</row>
    <row r="1279" spans="1:17" ht="18" x14ac:dyDescent="0.4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</row>
    <row r="1280" spans="1:17" ht="18" x14ac:dyDescent="0.4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</row>
    <row r="1281" spans="1:17" ht="18" x14ac:dyDescent="0.4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</row>
    <row r="1282" spans="1:17" ht="18" x14ac:dyDescent="0.4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</row>
    <row r="1283" spans="1:17" ht="18" x14ac:dyDescent="0.4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</row>
    <row r="1284" spans="1:17" ht="18" x14ac:dyDescent="0.4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</row>
    <row r="1285" spans="1:17" ht="18" x14ac:dyDescent="0.4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</row>
    <row r="1286" spans="1:17" ht="18" x14ac:dyDescent="0.4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</row>
    <row r="1287" spans="1:17" ht="18" x14ac:dyDescent="0.4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</row>
    <row r="1288" spans="1:17" ht="18" x14ac:dyDescent="0.4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</row>
    <row r="1289" spans="1:17" ht="18" x14ac:dyDescent="0.4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</row>
    <row r="1290" spans="1:17" ht="18" x14ac:dyDescent="0.4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</row>
    <row r="1291" spans="1:17" ht="18" x14ac:dyDescent="0.4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</row>
    <row r="1292" spans="1:17" ht="18" x14ac:dyDescent="0.4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</row>
    <row r="1293" spans="1:17" ht="18" x14ac:dyDescent="0.4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</row>
    <row r="1294" spans="1:17" ht="18" x14ac:dyDescent="0.4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</row>
    <row r="1295" spans="1:17" ht="18" x14ac:dyDescent="0.4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</row>
    <row r="1296" spans="1:17" ht="18" x14ac:dyDescent="0.4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</row>
    <row r="1297" spans="1:17" ht="18" x14ac:dyDescent="0.4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</row>
    <row r="1298" spans="1:17" ht="18" x14ac:dyDescent="0.4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</row>
    <row r="1299" spans="1:17" ht="18" x14ac:dyDescent="0.4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</row>
    <row r="1300" spans="1:17" ht="18" x14ac:dyDescent="0.4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</row>
    <row r="1301" spans="1:17" ht="18" x14ac:dyDescent="0.4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</row>
    <row r="1302" spans="1:17" ht="18" x14ac:dyDescent="0.4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</row>
    <row r="1303" spans="1:17" ht="18" x14ac:dyDescent="0.4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</row>
    <row r="1304" spans="1:17" ht="18" x14ac:dyDescent="0.4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</row>
    <row r="1305" spans="1:17" ht="18" x14ac:dyDescent="0.4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</row>
    <row r="1306" spans="1:17" ht="18" x14ac:dyDescent="0.4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</row>
    <row r="1307" spans="1:17" ht="18" x14ac:dyDescent="0.4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</row>
    <row r="1308" spans="1:17" ht="18" x14ac:dyDescent="0.4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</row>
    <row r="1309" spans="1:17" ht="18" x14ac:dyDescent="0.4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</row>
    <row r="1310" spans="1:17" ht="18" x14ac:dyDescent="0.4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</row>
    <row r="1311" spans="1:17" ht="18" x14ac:dyDescent="0.4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</row>
    <row r="1312" spans="1:17" ht="18" x14ac:dyDescent="0.4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</row>
    <row r="1313" spans="1:17" ht="18" x14ac:dyDescent="0.4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</row>
    <row r="1314" spans="1:17" ht="18" x14ac:dyDescent="0.4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</row>
    <row r="1315" spans="1:17" ht="18" x14ac:dyDescent="0.4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</row>
    <row r="1316" spans="1:17" ht="18" x14ac:dyDescent="0.4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</row>
    <row r="1317" spans="1:17" ht="18" x14ac:dyDescent="0.4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</row>
    <row r="1318" spans="1:17" ht="18" x14ac:dyDescent="0.4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</row>
    <row r="1319" spans="1:17" ht="18" x14ac:dyDescent="0.4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</row>
    <row r="1320" spans="1:17" ht="18" x14ac:dyDescent="0.4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</row>
    <row r="1321" spans="1:17" ht="18" x14ac:dyDescent="0.4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</row>
    <row r="1322" spans="1:17" ht="18" x14ac:dyDescent="0.4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</row>
    <row r="1323" spans="1:17" ht="18" x14ac:dyDescent="0.4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</row>
    <row r="1324" spans="1:17" ht="18" x14ac:dyDescent="0.4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</row>
    <row r="1325" spans="1:17" ht="18" x14ac:dyDescent="0.4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</row>
    <row r="1326" spans="1:17" ht="18" x14ac:dyDescent="0.4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</row>
    <row r="1327" spans="1:17" ht="18" x14ac:dyDescent="0.4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</row>
    <row r="1328" spans="1:17" ht="18" x14ac:dyDescent="0.4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</row>
    <row r="1329" spans="1:17" ht="18" x14ac:dyDescent="0.4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</row>
    <row r="1330" spans="1:17" ht="18" x14ac:dyDescent="0.4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</row>
    <row r="1331" spans="1:17" ht="18" x14ac:dyDescent="0.4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</row>
    <row r="1332" spans="1:17" ht="18" x14ac:dyDescent="0.4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</row>
    <row r="1333" spans="1:17" ht="18" x14ac:dyDescent="0.4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</row>
    <row r="1334" spans="1:17" ht="18" x14ac:dyDescent="0.4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</row>
    <row r="1335" spans="1:17" ht="18" x14ac:dyDescent="0.4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</row>
    <row r="1336" spans="1:17" ht="18" x14ac:dyDescent="0.4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</row>
    <row r="1337" spans="1:17" ht="18" x14ac:dyDescent="0.4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</row>
    <row r="1338" spans="1:17" ht="18" x14ac:dyDescent="0.4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</row>
    <row r="1339" spans="1:17" ht="18" x14ac:dyDescent="0.4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</row>
    <row r="1340" spans="1:17" ht="18" x14ac:dyDescent="0.4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</row>
    <row r="1341" spans="1:17" ht="18" x14ac:dyDescent="0.4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</row>
    <row r="1342" spans="1:17" ht="18" x14ac:dyDescent="0.4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</row>
    <row r="1343" spans="1:17" ht="18" x14ac:dyDescent="0.4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</row>
    <row r="1344" spans="1:17" ht="18" x14ac:dyDescent="0.4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</row>
    <row r="1345" spans="1:17" ht="18" x14ac:dyDescent="0.4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</row>
    <row r="1346" spans="1:17" ht="18" x14ac:dyDescent="0.4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</row>
    <row r="1347" spans="1:17" ht="18" x14ac:dyDescent="0.4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</row>
    <row r="1348" spans="1:17" ht="18" x14ac:dyDescent="0.4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</row>
    <row r="1349" spans="1:17" ht="18" x14ac:dyDescent="0.4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</row>
    <row r="1350" spans="1:17" ht="18" x14ac:dyDescent="0.4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</row>
    <row r="1351" spans="1:17" ht="18" x14ac:dyDescent="0.4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</row>
    <row r="1352" spans="1:17" ht="18" x14ac:dyDescent="0.4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</row>
    <row r="1353" spans="1:17" ht="18" x14ac:dyDescent="0.4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</row>
    <row r="1354" spans="1:17" ht="18" x14ac:dyDescent="0.4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</row>
    <row r="1355" spans="1:17" ht="18" x14ac:dyDescent="0.4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</row>
    <row r="1356" spans="1:17" ht="18" x14ac:dyDescent="0.4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</row>
    <row r="1357" spans="1:17" ht="18" x14ac:dyDescent="0.4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</row>
    <row r="1358" spans="1:17" ht="18" x14ac:dyDescent="0.4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</row>
    <row r="1359" spans="1:17" ht="18" x14ac:dyDescent="0.4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</row>
    <row r="1360" spans="1:17" ht="18" x14ac:dyDescent="0.4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</row>
    <row r="1361" spans="1:17" ht="18" x14ac:dyDescent="0.4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</row>
    <row r="1362" spans="1:17" ht="18" x14ac:dyDescent="0.4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</row>
    <row r="1363" spans="1:17" ht="18" x14ac:dyDescent="0.4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</row>
    <row r="1364" spans="1:17" ht="18" x14ac:dyDescent="0.4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</row>
    <row r="1365" spans="1:17" ht="18" x14ac:dyDescent="0.4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</row>
    <row r="1366" spans="1:17" ht="18" x14ac:dyDescent="0.4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</row>
    <row r="1367" spans="1:17" ht="18" x14ac:dyDescent="0.4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</row>
    <row r="1368" spans="1:17" ht="18" x14ac:dyDescent="0.4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</row>
    <row r="1369" spans="1:17" ht="18" x14ac:dyDescent="0.4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</row>
    <row r="1370" spans="1:17" ht="18" x14ac:dyDescent="0.4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</row>
    <row r="1371" spans="1:17" ht="18" x14ac:dyDescent="0.4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</row>
    <row r="1372" spans="1:17" ht="18" x14ac:dyDescent="0.4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</row>
    <row r="1373" spans="1:17" ht="18" x14ac:dyDescent="0.4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</row>
    <row r="1374" spans="1:17" ht="18" x14ac:dyDescent="0.4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</row>
    <row r="1375" spans="1:17" ht="18" x14ac:dyDescent="0.4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</row>
    <row r="1376" spans="1:17" ht="18" x14ac:dyDescent="0.4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</row>
    <row r="1377" spans="1:17" ht="18" x14ac:dyDescent="0.4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</row>
    <row r="1378" spans="1:17" ht="18" x14ac:dyDescent="0.4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</row>
    <row r="1379" spans="1:17" ht="18" x14ac:dyDescent="0.4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</row>
    <row r="1380" spans="1:17" ht="18" x14ac:dyDescent="0.4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</row>
    <row r="1381" spans="1:17" ht="18" x14ac:dyDescent="0.4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</row>
    <row r="1382" spans="1:17" ht="18" x14ac:dyDescent="0.4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</row>
    <row r="1383" spans="1:17" ht="18" x14ac:dyDescent="0.4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</row>
    <row r="1384" spans="1:17" ht="18" x14ac:dyDescent="0.4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</row>
    <row r="1385" spans="1:17" ht="18" x14ac:dyDescent="0.4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</row>
    <row r="1386" spans="1:17" ht="18" x14ac:dyDescent="0.4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</row>
    <row r="1387" spans="1:17" ht="18" x14ac:dyDescent="0.4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</row>
    <row r="1388" spans="1:17" ht="18" x14ac:dyDescent="0.4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</row>
    <row r="1389" spans="1:17" ht="18" x14ac:dyDescent="0.4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</row>
    <row r="1390" spans="1:17" ht="18" x14ac:dyDescent="0.4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</row>
    <row r="1391" spans="1:17" ht="18" x14ac:dyDescent="0.4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</row>
    <row r="1392" spans="1:17" ht="18" x14ac:dyDescent="0.4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</row>
    <row r="1393" spans="1:17" ht="18" x14ac:dyDescent="0.4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</row>
    <row r="1394" spans="1:17" ht="18" x14ac:dyDescent="0.4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</row>
    <row r="1395" spans="1:17" ht="18" x14ac:dyDescent="0.4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</row>
    <row r="1396" spans="1:17" ht="18" x14ac:dyDescent="0.4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</row>
    <row r="1397" spans="1:17" ht="18" x14ac:dyDescent="0.4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</row>
    <row r="1398" spans="1:17" ht="18" x14ac:dyDescent="0.4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</row>
    <row r="1399" spans="1:17" ht="18" x14ac:dyDescent="0.4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</row>
    <row r="1400" spans="1:17" ht="18" x14ac:dyDescent="0.4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</row>
    <row r="1401" spans="1:17" ht="18" x14ac:dyDescent="0.4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</row>
    <row r="1402" spans="1:17" ht="18" x14ac:dyDescent="0.4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</row>
    <row r="1403" spans="1:17" ht="18" x14ac:dyDescent="0.4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</row>
    <row r="1404" spans="1:17" ht="18" x14ac:dyDescent="0.4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</row>
  </sheetData>
  <mergeCells count="10">
    <mergeCell ref="B23:C23"/>
    <mergeCell ref="B28:C28"/>
    <mergeCell ref="B33:C33"/>
    <mergeCell ref="B38:C38"/>
    <mergeCell ref="A1:C1"/>
    <mergeCell ref="A2:C2"/>
    <mergeCell ref="B3:C3"/>
    <mergeCell ref="B8:C8"/>
    <mergeCell ref="B13:C13"/>
    <mergeCell ref="B18:C1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Transaction</vt:lpstr>
      <vt:lpstr>Journal Entries</vt:lpstr>
      <vt:lpstr>Ledger</vt:lpstr>
      <vt:lpstr>Trial Balance</vt:lpstr>
      <vt:lpstr>Trading Account</vt:lpstr>
      <vt:lpstr>P&amp;L Account</vt:lpstr>
      <vt:lpstr>Balance Sheet</vt:lpstr>
      <vt:lpstr>Ratio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AFRIN KATHIJA</dc:creator>
  <cp:lastModifiedBy>AFRIN KATHIJA</cp:lastModifiedBy>
  <dcterms:created xsi:type="dcterms:W3CDTF">2026-09-08T03:18:52Z</dcterms:created>
  <dcterms:modified xsi:type="dcterms:W3CDTF">2026-09-16T15:41:27Z</dcterms:modified>
</cp:coreProperties>
</file>